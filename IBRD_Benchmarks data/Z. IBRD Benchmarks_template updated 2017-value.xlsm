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BCFCM-SD-IR\Benchmark\MTM\2018\February 2018\"/>
    </mc:Choice>
  </mc:AlternateContent>
  <bookViews>
    <workbookView xWindow="165" yWindow="1755" windowWidth="20730" windowHeight="8505" tabRatio="855"/>
  </bookViews>
  <sheets>
    <sheet name="Main" sheetId="174" r:id="rId1"/>
    <sheet name="FinalIBRD" sheetId="2" r:id="rId2"/>
    <sheet name="Nomura-JPY " sheetId="214" r:id="rId3"/>
    <sheet name="MorganStanley-EURO" sheetId="213" r:id="rId4"/>
    <sheet name="MorganStanley-USD" sheetId="212" r:id="rId5"/>
    <sheet name="JPMorgan-EURO" sheetId="211" r:id="rId6"/>
    <sheet name="JPMorgan-USD" sheetId="210" r:id="rId7"/>
    <sheet name="GS-EURO" sheetId="209" r:id="rId8"/>
    <sheet name="Deutsche-EURO" sheetId="208" r:id="rId9"/>
    <sheet name="Deutsche-USD" sheetId="207" r:id="rId10"/>
    <sheet name="Daiwa-JPY" sheetId="206" r:id="rId11"/>
    <sheet name="Citi-EURO" sheetId="205" r:id="rId12"/>
    <sheet name="Citi-USD" sheetId="204" r:id="rId13"/>
  </sheets>
  <functionGroups builtInGroupCount="18"/>
  <externalReferences>
    <externalReference r:id="rId14"/>
    <externalReference r:id="rId15"/>
  </externalReferences>
  <definedNames>
    <definedName name="Bunds" localSheetId="8">'[1]Reuters Feed'!$Q$22:$V$62</definedName>
    <definedName name="Bunds" localSheetId="9">'[1]Reuters Feed'!$Q$22:$V$62</definedName>
    <definedName name="Bunds" localSheetId="7">'[1]Reuters Feed'!$Q$22:$V$62</definedName>
    <definedName name="Bunds">'[2]Reuters Feed'!$Q$22:$V$62</definedName>
    <definedName name="EUR3MLIBOR">FinalIBRD!$A$17</definedName>
    <definedName name="EUR6MEURIBOR">FinalIBRD!$K$17</definedName>
    <definedName name="EUR6MEURIBOR2">FinalIBRD!$S$17</definedName>
    <definedName name="IQ_ADDIN" hidden="1">"AUTO"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41499.7687962963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JPY3MLIBOR">FinalIBRD!$A$27</definedName>
    <definedName name="JPY6MJPYLIBOR">FinalIBRD!$K$27</definedName>
    <definedName name="solver_adj" localSheetId="1" hidden="1">FinalIBRD!#REF!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in" localSheetId="1" hidden="1">2</definedName>
    <definedName name="solver_neg" localSheetId="1" hidden="1">2</definedName>
    <definedName name="solver_num" localSheetId="1" hidden="1">0</definedName>
    <definedName name="solver_nwt" localSheetId="1" hidden="1">1</definedName>
    <definedName name="solver_opt" localSheetId="1" hidden="1">FinalIBRD!#REF!</definedName>
    <definedName name="solver_pre" localSheetId="1" hidden="1">0.000001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3</definedName>
    <definedName name="solver_val" localSheetId="1" hidden="1">0</definedName>
    <definedName name="USD3MLIBOR">FinalIBRD!$A$8</definedName>
    <definedName name="USD6MJPYLIBOR">FinalIBRD!$K$27</definedName>
    <definedName name="USD6MLIBOR">FinalIBRD!$K$8</definedName>
  </definedNames>
  <calcPr calcId="171027" calcMode="manual"/>
</workbook>
</file>

<file path=xl/calcChain.xml><?xml version="1.0" encoding="utf-8"?>
<calcChain xmlns="http://schemas.openxmlformats.org/spreadsheetml/2006/main">
  <c r="M20" i="174" l="1"/>
  <c r="M13" i="174"/>
  <c r="N13" i="174"/>
  <c r="O13" i="174"/>
  <c r="P13" i="174"/>
  <c r="Q13" i="174"/>
  <c r="R13" i="174"/>
  <c r="L13" i="174"/>
  <c r="C12" i="174"/>
  <c r="D12" i="174"/>
  <c r="E12" i="174"/>
  <c r="F12" i="174"/>
  <c r="G12" i="174"/>
  <c r="H12" i="174"/>
  <c r="B12" i="174"/>
  <c r="G1" i="214" l="1"/>
  <c r="F20" i="209"/>
  <c r="E20" i="209"/>
  <c r="D20" i="209"/>
  <c r="C20" i="209"/>
  <c r="B20" i="209"/>
  <c r="B27" i="208" l="1"/>
  <c r="B60" i="174" l="1"/>
  <c r="B61" i="174"/>
  <c r="B62" i="174"/>
  <c r="B63" i="174"/>
  <c r="B59" i="174"/>
  <c r="D59" i="174" s="1"/>
  <c r="B41" i="174"/>
  <c r="G48" i="174"/>
  <c r="B48" i="174"/>
  <c r="B39" i="174"/>
  <c r="B40" i="174"/>
  <c r="G46" i="174"/>
  <c r="G40" i="174"/>
  <c r="B43" i="174"/>
  <c r="G43" i="174"/>
  <c r="G45" i="174"/>
  <c r="G49" i="174"/>
  <c r="B46" i="174"/>
  <c r="B45" i="174"/>
  <c r="B49" i="174"/>
  <c r="B47" i="174"/>
  <c r="G41" i="174"/>
  <c r="G38" i="174"/>
  <c r="B38" i="174"/>
  <c r="G42" i="174"/>
  <c r="B44" i="174"/>
  <c r="B42" i="174"/>
  <c r="G47" i="174"/>
  <c r="G39" i="174"/>
  <c r="G44" i="174"/>
  <c r="B38" i="2"/>
  <c r="R12" i="174" l="1"/>
  <c r="R13" i="2" l="1"/>
  <c r="H13" i="2" l="1"/>
  <c r="R14" i="2" s="1"/>
  <c r="U20" i="174" l="1"/>
  <c r="V20" i="174"/>
  <c r="W20" i="174"/>
  <c r="X20" i="174"/>
  <c r="Y20" i="174"/>
  <c r="T20" i="174"/>
  <c r="S18" i="174"/>
  <c r="S19" i="174"/>
  <c r="S17" i="174"/>
  <c r="M23" i="2" l="1"/>
  <c r="N23" i="2"/>
  <c r="O23" i="2"/>
  <c r="P23" i="2"/>
  <c r="Q23" i="2"/>
  <c r="L23" i="2"/>
  <c r="C23" i="2"/>
  <c r="D23" i="2"/>
  <c r="E23" i="2"/>
  <c r="F23" i="2"/>
  <c r="G23" i="2"/>
  <c r="B23" i="2"/>
  <c r="O28" i="174" l="1"/>
  <c r="N28" i="174"/>
  <c r="M28" i="174"/>
  <c r="L28" i="174"/>
  <c r="E28" i="174"/>
  <c r="D28" i="174"/>
  <c r="C28" i="174"/>
  <c r="B28" i="174"/>
  <c r="Q12" i="174"/>
  <c r="C4" i="174" l="1"/>
  <c r="E32" i="174"/>
  <c r="F32" i="174"/>
  <c r="G32" i="174"/>
  <c r="H32" i="174"/>
  <c r="I32" i="174"/>
  <c r="L12" i="174"/>
  <c r="O32" i="174" s="1"/>
  <c r="M12" i="174"/>
  <c r="P32" i="174" s="1"/>
  <c r="N12" i="174"/>
  <c r="Q32" i="174" s="1"/>
  <c r="O12" i="174"/>
  <c r="R32" i="174" s="1"/>
  <c r="P12" i="174"/>
  <c r="S32" i="174" s="1"/>
  <c r="B20" i="174"/>
  <c r="C20" i="174"/>
  <c r="D20" i="174"/>
  <c r="E20" i="174"/>
  <c r="F20" i="174"/>
  <c r="G20" i="174"/>
  <c r="L20" i="174"/>
  <c r="N20" i="174"/>
  <c r="O20" i="174"/>
  <c r="P20" i="174"/>
  <c r="Q20" i="174"/>
  <c r="A32" i="174"/>
  <c r="D60" i="174"/>
  <c r="B32" i="174" s="1"/>
  <c r="D62" i="174"/>
  <c r="C32" i="174" s="1"/>
  <c r="D63" i="174"/>
  <c r="D32" i="174" s="1"/>
  <c r="D61" i="174"/>
  <c r="C52" i="174" l="1"/>
  <c r="E52" i="174" s="1"/>
  <c r="F52" i="174" s="1"/>
  <c r="K32" i="174" s="1"/>
  <c r="D53" i="174"/>
  <c r="F55" i="174"/>
  <c r="M32" i="174" s="1"/>
  <c r="E54" i="174"/>
  <c r="F54" i="174" s="1"/>
  <c r="E56" i="174"/>
  <c r="F56" i="174" s="1"/>
  <c r="N32" i="174" s="1"/>
  <c r="U23" i="2"/>
  <c r="U24" i="2" s="1"/>
  <c r="V23" i="2"/>
  <c r="V24" i="2" s="1"/>
  <c r="W23" i="2"/>
  <c r="W24" i="2" s="1"/>
  <c r="X23" i="2"/>
  <c r="X24" i="2" s="1"/>
  <c r="Y23" i="2"/>
  <c r="Y24" i="2" s="1"/>
  <c r="T23" i="2"/>
  <c r="T24" i="2" s="1"/>
  <c r="E53" i="174" l="1"/>
  <c r="F53" i="174" s="1"/>
  <c r="L32" i="174" s="1"/>
  <c r="E55" i="174"/>
  <c r="Q13" i="2" l="1"/>
  <c r="G13" i="2"/>
  <c r="Q14" i="2" l="1"/>
  <c r="D4" i="2"/>
  <c r="M31" i="2" l="1"/>
  <c r="N31" i="2"/>
  <c r="O31" i="2"/>
  <c r="L31" i="2"/>
  <c r="P13" i="2" l="1"/>
  <c r="O13" i="2"/>
  <c r="M13" i="2"/>
  <c r="L13" i="2"/>
  <c r="B13" i="2"/>
  <c r="N13" i="2"/>
  <c r="C31" i="2"/>
  <c r="D31" i="2"/>
  <c r="E31" i="2"/>
  <c r="B31" i="2"/>
  <c r="C13" i="2"/>
  <c r="D13" i="2"/>
  <c r="E13" i="2"/>
  <c r="F13" i="2"/>
  <c r="P14" i="2" l="1"/>
  <c r="O14" i="2"/>
  <c r="L14" i="2"/>
  <c r="N14" i="2"/>
  <c r="M14" i="2"/>
</calcChain>
</file>

<file path=xl/sharedStrings.xml><?xml version="1.0" encoding="utf-8"?>
<sst xmlns="http://schemas.openxmlformats.org/spreadsheetml/2006/main" count="628" uniqueCount="195">
  <si>
    <t>USD</t>
  </si>
  <si>
    <t>2Y</t>
  </si>
  <si>
    <t>3Y</t>
  </si>
  <si>
    <t>5Y</t>
  </si>
  <si>
    <t>10Y</t>
  </si>
  <si>
    <t>30Y</t>
  </si>
  <si>
    <t>EUR</t>
  </si>
  <si>
    <t>JPY</t>
  </si>
  <si>
    <t>Average</t>
  </si>
  <si>
    <t xml:space="preserve"> </t>
  </si>
  <si>
    <t>Citi</t>
  </si>
  <si>
    <t>Nomura</t>
  </si>
  <si>
    <t>Versus  US$3M LIBOR</t>
  </si>
  <si>
    <t>Versus US$6M LIBOR</t>
  </si>
  <si>
    <t>Versus 6M JPY LIBOR</t>
  </si>
  <si>
    <t>Versus US$3M LIBOR</t>
  </si>
  <si>
    <t>Daiwa</t>
  </si>
  <si>
    <t>Deutsche</t>
  </si>
  <si>
    <t>MorganStanley</t>
  </si>
  <si>
    <t>Save to:</t>
  </si>
  <si>
    <t>JPMorgan</t>
  </si>
  <si>
    <t>O/N $Libor</t>
  </si>
  <si>
    <t>ON Fed Fund vs 3m $Libor</t>
  </si>
  <si>
    <t>1M $Libor</t>
  </si>
  <si>
    <t>3M $Libor</t>
  </si>
  <si>
    <t>6M $Libor</t>
  </si>
  <si>
    <t>1Y Swap Rate</t>
  </si>
  <si>
    <t>1m vs 6m basic swap (6M)</t>
  </si>
  <si>
    <t>3m vs 6m basic swap (6M)</t>
  </si>
  <si>
    <t>3m vs 6m basis swap (1Y)</t>
  </si>
  <si>
    <t>3m vs 12m basis swap (1Y)</t>
  </si>
  <si>
    <t>1-D</t>
  </si>
  <si>
    <t>1-M</t>
  </si>
  <si>
    <t>6-M</t>
  </si>
  <si>
    <t>1Y</t>
  </si>
  <si>
    <t>DIN</t>
  </si>
  <si>
    <t>BM</t>
  </si>
  <si>
    <t>Discount Notes (DIN), Benchmark (BM)</t>
  </si>
  <si>
    <t>Reference (Source Bloomberg)</t>
  </si>
  <si>
    <t>ON FedFund</t>
  </si>
  <si>
    <t>1m vs 3m basis swap (3M)</t>
  </si>
  <si>
    <t>WB posting</t>
  </si>
  <si>
    <t>O/N FedFund</t>
  </si>
  <si>
    <t>1M Libor</t>
  </si>
  <si>
    <t>3M libor</t>
  </si>
  <si>
    <t>6M libor</t>
  </si>
  <si>
    <t>ON</t>
  </si>
  <si>
    <t>-</t>
  </si>
  <si>
    <t>1M</t>
  </si>
  <si>
    <t>3M</t>
  </si>
  <si>
    <t>6M</t>
  </si>
  <si>
    <t>Implied 3M$Libor</t>
  </si>
  <si>
    <t>Fun Spreads</t>
  </si>
  <si>
    <t>vs. US$3 Month Libor</t>
  </si>
  <si>
    <t>vs. US$6 Month Libor</t>
  </si>
  <si>
    <t xml:space="preserve">Indicative Funding Cost as of </t>
  </si>
  <si>
    <t xml:space="preserve">Funding Cost Indications for Mark-to-Market  </t>
  </si>
  <si>
    <t xml:space="preserve">Versus 3M EURIBOR </t>
  </si>
  <si>
    <t>40Y</t>
  </si>
  <si>
    <t>50Y</t>
  </si>
  <si>
    <t>GS</t>
  </si>
  <si>
    <t xml:space="preserve">Versus 6M EURIBOR </t>
  </si>
  <si>
    <t>MUFJ</t>
  </si>
  <si>
    <t>M:\BCFCM-SD-IR\Benchmark\MTM\2016\March 2016\IBRD</t>
  </si>
  <si>
    <t>M:\BCFCM-SD-IR\Benchmark\MTM\2017</t>
  </si>
  <si>
    <t>MM Rate</t>
  </si>
  <si>
    <t>USD 3 Billion Global</t>
  </si>
  <si>
    <t>Maturity (years)</t>
  </si>
  <si>
    <t>2 Years</t>
  </si>
  <si>
    <t>3 Years</t>
  </si>
  <si>
    <t>5 Years</t>
  </si>
  <si>
    <t>10 Years</t>
  </si>
  <si>
    <t>30 Years</t>
  </si>
  <si>
    <t>40 years</t>
  </si>
  <si>
    <t>50 years</t>
  </si>
  <si>
    <t>Settlement Date</t>
  </si>
  <si>
    <t>T+5b</t>
  </si>
  <si>
    <t>Maturity date</t>
  </si>
  <si>
    <t>7Y</t>
  </si>
  <si>
    <t>Benchmark UST (s.a)</t>
  </si>
  <si>
    <t>UST 2 1/4 02/29/20</t>
  </si>
  <si>
    <t>UST 2 1/4 02/15/21</t>
  </si>
  <si>
    <t>UST 2 5/8 02/28/23</t>
  </si>
  <si>
    <t>UST 2 3/4 02/15/28</t>
  </si>
  <si>
    <t>UST 3 02/15/48</t>
  </si>
  <si>
    <t>Benchmark Yield</t>
  </si>
  <si>
    <t>Reoffer Spread (bps)</t>
  </si>
  <si>
    <t>IBRD spread vs UST (bps)</t>
  </si>
  <si>
    <t>Reoffer Yield</t>
  </si>
  <si>
    <t>Fees (bps)</t>
  </si>
  <si>
    <t>All-in Yield</t>
  </si>
  <si>
    <t>Mid-swap Rate</t>
  </si>
  <si>
    <t>3m US$ Libor All-in (bps)</t>
  </si>
  <si>
    <t>6m US$ Libor All-in (bps)</t>
  </si>
  <si>
    <t>EURO 2 Billion Eurobond</t>
  </si>
  <si>
    <t>50  Years</t>
  </si>
  <si>
    <t>Benchmark Bund</t>
  </si>
  <si>
    <t>BKO 0 03/13/20</t>
  </si>
  <si>
    <t>OBL 0 04/09/21</t>
  </si>
  <si>
    <t>OBL 0 04/14/23</t>
  </si>
  <si>
    <t>DBR 0 1/2 02/15/28</t>
  </si>
  <si>
    <t>DBR 1 1/4 08/15/48</t>
  </si>
  <si>
    <t>IBRD spread vs Bund (bps)</t>
  </si>
  <si>
    <t>6m EURIBOR All-in (bps)</t>
  </si>
  <si>
    <t>3m EURIBOR All-in (bps)</t>
  </si>
  <si>
    <t>JPY 50 Billion Samurai</t>
  </si>
  <si>
    <t>Benchmark JGB</t>
  </si>
  <si>
    <t>JB307</t>
  </si>
  <si>
    <t>JB314</t>
  </si>
  <si>
    <t>JB328</t>
  </si>
  <si>
    <t>JB349</t>
  </si>
  <si>
    <t>IBRD spread vs JGB (bps)</t>
  </si>
  <si>
    <t>6m JPY Libor All-in (bps)</t>
  </si>
  <si>
    <t>3m JPY Libor All-in (bps)</t>
  </si>
  <si>
    <t>EURO Global</t>
  </si>
  <si>
    <t>BKO 0.00% Dec-19</t>
  </si>
  <si>
    <t>OBL 0.00% Apr-21</t>
  </si>
  <si>
    <t>OBL 0.00% Apr-23</t>
  </si>
  <si>
    <t>DBR 0.50% Feb-28</t>
  </si>
  <si>
    <t>DBR 1.250% Aug-48</t>
  </si>
  <si>
    <t>FRTR 1.75% May-66</t>
  </si>
  <si>
    <t>USD XX Billion Global</t>
  </si>
  <si>
    <t>40 Years</t>
  </si>
  <si>
    <t>50 Years</t>
  </si>
  <si>
    <t>T  2.250 200229</t>
  </si>
  <si>
    <t>T  2.250 210215</t>
  </si>
  <si>
    <t>T  2.625 230228</t>
  </si>
  <si>
    <t>T  2.750 280215</t>
  </si>
  <si>
    <t>T  3.000 480215</t>
  </si>
  <si>
    <t>3mUS$ Libor Reoffer (bps)</t>
  </si>
  <si>
    <t>EURO XX Billion Global</t>
  </si>
  <si>
    <t>BKO 0.000 0320</t>
  </si>
  <si>
    <t>DBR 2.500 0121</t>
  </si>
  <si>
    <t>OBL177 0.000 0423</t>
  </si>
  <si>
    <t>DBR 0.500 0228</t>
  </si>
  <si>
    <t>DBR 1.250 0848</t>
  </si>
  <si>
    <t>FRTR 4.000 0460</t>
  </si>
  <si>
    <t>USD 3 Billion</t>
  </si>
  <si>
    <t>40  Years</t>
  </si>
  <si>
    <t>UST 2.250% 02/20</t>
  </si>
  <si>
    <t>UST 2.250% 02/21</t>
  </si>
  <si>
    <t>UST 2.625% 02/23</t>
  </si>
  <si>
    <t>UST 2.750% 02/28</t>
  </si>
  <si>
    <t>UST 3.000% 02/48</t>
  </si>
  <si>
    <t>3m US$ Libor Reoffer (bps)</t>
  </si>
  <si>
    <t>BKO 0.000% 03/20</t>
  </si>
  <si>
    <t>OBL 0.000% 04/21</t>
  </si>
  <si>
    <t>OBL 0.000% 04/23</t>
  </si>
  <si>
    <t>DBR 0.500% 02/28</t>
  </si>
  <si>
    <t>DBR 1.250% 08/48</t>
  </si>
  <si>
    <t>FRTR 1.750% 05/66</t>
  </si>
  <si>
    <t>#JN386</t>
  </si>
  <si>
    <t>#JB312</t>
  </si>
  <si>
    <t>#JS134</t>
  </si>
  <si>
    <t>#JB349</t>
  </si>
  <si>
    <t>USD Global</t>
  </si>
  <si>
    <t xml:space="preserve">Trade Date </t>
  </si>
  <si>
    <t>UST 2.25% Feb-20</t>
  </si>
  <si>
    <t>UST 2.25% Feb-21</t>
  </si>
  <si>
    <t>UST 2.625% Feb-23</t>
  </si>
  <si>
    <t>UST 2.75% Feb-28</t>
  </si>
  <si>
    <t>UST 0.0% Feb-48</t>
  </si>
  <si>
    <t>T 2 1/4 02/29/20</t>
  </si>
  <si>
    <t>T 2 1/4 02/15/21</t>
  </si>
  <si>
    <t>T 2 5/8 02/28/23</t>
  </si>
  <si>
    <t>T 2 3/4 02/15/28</t>
  </si>
  <si>
    <t>T 3 02/15/48</t>
  </si>
  <si>
    <t xml:space="preserve">T </t>
  </si>
  <si>
    <t>2.25</t>
  </si>
  <si>
    <t>2.625</t>
  </si>
  <si>
    <t>2.75</t>
  </si>
  <si>
    <t>0.0</t>
  </si>
  <si>
    <t>02/29/20</t>
  </si>
  <si>
    <t>02/15/21</t>
  </si>
  <si>
    <t>02/28/23</t>
  </si>
  <si>
    <t>02/15/28</t>
  </si>
  <si>
    <t>02/15/48</t>
  </si>
  <si>
    <t>Reoffer vs MS (bps)</t>
  </si>
  <si>
    <t>Trade date</t>
  </si>
  <si>
    <t>BKO 0.0% Mar-20</t>
  </si>
  <si>
    <t>OBL 0.0% Apr-21</t>
  </si>
  <si>
    <t>OBL 0.0% Apr-23</t>
  </si>
  <si>
    <t>DBR 0.5% Feb-28</t>
  </si>
  <si>
    <t>DBR 1.25% Aug-48</t>
  </si>
  <si>
    <t xml:space="preserve">BKO </t>
  </si>
  <si>
    <t xml:space="preserve">OBL </t>
  </si>
  <si>
    <t xml:space="preserve">DBR </t>
  </si>
  <si>
    <t>0.5</t>
  </si>
  <si>
    <t>1.25</t>
  </si>
  <si>
    <t>03/13/20</t>
  </si>
  <si>
    <t>04/09/21</t>
  </si>
  <si>
    <t>04/14/23</t>
  </si>
  <si>
    <t>08/15/48</t>
  </si>
  <si>
    <t>Re-Offer vs MS (bps)</t>
  </si>
  <si>
    <t>JP Morgan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</si>
</sst>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0">
    <numFmt numFmtId="5" formatCode="&quot;$&quot;#,##0_);\(&quot;$&quot;#,##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0"/>
    <numFmt numFmtId="165" formatCode="0.0"/>
    <numFmt numFmtId="166" formatCode="_-* #,##0.00_-;\-* #,##0.00_-;_-* &quot;-&quot;??_-;_-@_-"/>
    <numFmt numFmtId="167" formatCode="0.0_)\%;\(0.0\)\%;0.0_)\%;@_)_%"/>
    <numFmt numFmtId="168" formatCode="#,##0.0_)_%;\(#,##0.0\)_%;0.0_)_%;@_)_%"/>
    <numFmt numFmtId="169" formatCode="#,##0.0_);\(#,##0.0\);#,##0.0_);@_)"/>
    <numFmt numFmtId="170" formatCode="&quot;£&quot;_(#,##0.00_);&quot;£&quot;\(#,##0.00\);&quot;£&quot;_(0.00_);@_)"/>
    <numFmt numFmtId="171" formatCode="#,##0.00_);\(#,##0.00\);0.00_);@_)"/>
    <numFmt numFmtId="172" formatCode="\€_(#,##0.00_);\€\(#,##0.00\);\€_(0.00_);@_)"/>
    <numFmt numFmtId="173" formatCode="#,##0_)\x;\(#,##0\)\x;0_)\x;@_)_x"/>
    <numFmt numFmtId="174" formatCode="#,##0_)_x;\(#,##0\)_x;0_)_x;@_)_x"/>
    <numFmt numFmtId="175" formatCode="_-* #,##0.00\ [$€]_-;\-* #,##0.00\ [$€]_-;_-* &quot;-&quot;??\ [$€]_-;_-@_-"/>
    <numFmt numFmtId="176" formatCode="General_)"/>
    <numFmt numFmtId="177" formatCode="&quot;$&quot;#,##0.0000_);\(&quot;$&quot;#,##0.0000\)"/>
    <numFmt numFmtId="178" formatCode="General;\-General;;@"/>
    <numFmt numFmtId="179" formatCode="_ * #,##0_ ;_ * \-#,##0_ ;_ * &quot;-&quot;_ ;_ @_ "/>
    <numFmt numFmtId="180" formatCode="_ * #,##0.00_ ;_ * \-#,##0.00_ ;_ * &quot;-&quot;??_ ;_ @_ "/>
    <numFmt numFmtId="181" formatCode="_-* #,##0\ _F_-;\-* #,##0\ _F_-;_-* &quot;-&quot;\ _F_-;_-@_-"/>
    <numFmt numFmtId="182" formatCode="_-* #,##0.00\ _F_-;\-* #,##0.00\ _F_-;_-* &quot;-&quot;??\ _F_-;_-@_-"/>
    <numFmt numFmtId="183" formatCode="_-* #,##0\ &quot;F&quot;_-;\-* #,##0\ &quot;F&quot;_-;_-* &quot;-&quot;\ &quot;F&quot;_-;_-@_-"/>
    <numFmt numFmtId="184" formatCode="_-* #,##0.00\ &quot;F&quot;_-;\-* #,##0.00\ &quot;F&quot;_-;_-* &quot;-&quot;??\ &quot;F&quot;_-;_-@_-"/>
    <numFmt numFmtId="185" formatCode="_ &quot;S/&quot;* #,##0_ ;_ &quot;S/&quot;* \-#,##0_ ;_ &quot;S/&quot;* &quot;-&quot;_ ;_ @_ "/>
    <numFmt numFmtId="186" formatCode="_ &quot;S/&quot;* #,##0.00_ ;_ &quot;S/&quot;* \-#,##0.00_ ;_ &quot;S/&quot;* &quot;-&quot;??_ ;_ @_ "/>
    <numFmt numFmtId="187" formatCode="#,##0.0_x_)_);&quot;NM&quot;_x_)_);#,##0.0_x_)_);@_x_)_)"/>
    <numFmt numFmtId="188" formatCode="#,##0;\(#,##0\)"/>
    <numFmt numFmtId="189" formatCode="0.00;;"/>
    <numFmt numFmtId="190" formatCode="0.000"/>
    <numFmt numFmtId="191" formatCode="_-[$€]* #,##0.00_-;\-[$€]* #,##0.00_-;_-[$€]* &quot;-&quot;??_-;_-@_-"/>
    <numFmt numFmtId="192" formatCode="ddd\ d\-mmm\-yyyy"/>
    <numFmt numFmtId="193" formatCode="#,##0_);\(#,##0\);\-\-_)"/>
    <numFmt numFmtId="194" formatCode="0.00_);[Red]\(0.00\);\-\-_)"/>
    <numFmt numFmtId="195" formatCode="#,##0\ &quot;bps&quot;_);\(#,##0\ &quot;bps&quot;\);\-\-_)"/>
    <numFmt numFmtId="196" formatCode="0.0\x"/>
    <numFmt numFmtId="197" formatCode="0_);\(0\);0;* @_)"/>
    <numFmt numFmtId="198" formatCode="ddd\ dd\-mmm\-yyyy"/>
    <numFmt numFmtId="199" formatCode="dd\ mmm\ yy;&quot;nm &quot;;&quot;nm &quot;"/>
    <numFmt numFmtId="200" formatCode="#,##0.0&quot; days&quot;_);\(#,##0.0&quot; days&quot;\);\-\-_);* @_)"/>
    <numFmt numFmtId="201" formatCode="#,##0_ ;[Red]\-#,##0\ "/>
    <numFmt numFmtId="202" formatCode="#,##0.0,,_);\(#,##0.0,,\);\-\-_);* @_)"/>
    <numFmt numFmtId="203" formatCode="#,##0_);[Red]\(#,##0\);0"/>
    <numFmt numFmtId="204" formatCode="0.0\x;&quot;nm&quot;_x;&quot;nm&quot;_x;* @_x"/>
    <numFmt numFmtId="205" formatCode="0.00\x;&quot;nm&quot;_x;&quot;nm&quot;_x;* @_x"/>
    <numFmt numFmtId="206" formatCode="_(* #,##0_);_(* \(#,##0\)"/>
    <numFmt numFmtId="207" formatCode="#,##0.0,_-;\(#,##0.0,\)&quot;-  &quot;"/>
    <numFmt numFmtId="208" formatCode="#,##0.00,_-;\(#,##0.00,\);&quot;- &quot;"/>
    <numFmt numFmtId="209" formatCode="#,##0;\-#,##0_-;\ &quot;- &quot;"/>
    <numFmt numFmtId="210" formatCode="#,##0,;\(#,##0,\);_-&quot;-  &quot;"/>
    <numFmt numFmtId="211" formatCode="#,##0.0\);[Red]\(#,##0.0\)"/>
    <numFmt numFmtId="212" formatCode="0%_);\(0%\);\-\-??;* @_%_)"/>
    <numFmt numFmtId="213" formatCode="0.0%_);\(0.0%\);\-\-??;* @_%_)"/>
    <numFmt numFmtId="214" formatCode="#,##0.00_);\(#,##0.00\);\-\-_);* @_)"/>
    <numFmt numFmtId="215" formatCode="#,##0_);[Red]\(#,##0\);\-\-_)"/>
    <numFmt numFmtId="216" formatCode="0_)"/>
    <numFmt numFmtId="217" formatCode="#,##0.0,_);\(#,##0.0,\);\-\-_);* @_)"/>
    <numFmt numFmtId="218" formatCode="0&quot; years&quot;_);&quot;nm&quot;_);0&quot; years&quot;;* @_)"/>
    <numFmt numFmtId="219" formatCode="#,##0.0;[Red]\-#,##0.0"/>
    <numFmt numFmtId="220" formatCode="#,##0.000;[Red]\-#,##0.000"/>
    <numFmt numFmtId="221" formatCode="#,##0.0\ &quot;bp area&quot;;[Red]\-#,##0.0&quot; bp area&quot;"/>
    <numFmt numFmtId="222" formatCode="0.000_);[Red]\(0.000\)"/>
    <numFmt numFmtId="223" formatCode="dd\ mmm\ yyyy"/>
    <numFmt numFmtId="224" formatCode="\+\ 0&quot; area&quot;"/>
    <numFmt numFmtId="225" formatCode="0.0_ ;\-0.0\ "/>
    <numFmt numFmtId="226" formatCode="\+\ 0;\ \-0"/>
    <numFmt numFmtId="227" formatCode="0.000%"/>
    <numFmt numFmtId="228" formatCode="dd\-mmm\-yyyy"/>
    <numFmt numFmtId="229" formatCode="_-* #,##0.000_-;\-* #,##0.000_-;_-* &quot;-&quot;??_-;_-@_-"/>
    <numFmt numFmtId="230" formatCode="\+0.0;\-0.0;&quot;flat&quot;"/>
    <numFmt numFmtId="231" formatCode="0.0000%"/>
    <numFmt numFmtId="232" formatCode="0.0\ &quot;cents&quot;"/>
    <numFmt numFmtId="233" formatCode="0\ &quot;cents&quot;"/>
    <numFmt numFmtId="234" formatCode="mm/dd/yy"/>
    <numFmt numFmtId="235" formatCode="\ &quot;+ &quot;0&quot; area&quot;;&quot;- &quot;0&quot; area&quot;"/>
    <numFmt numFmtId="236" formatCode="\ 0&quot; area&quot;"/>
    <numFmt numFmtId="237" formatCode="\+\ 0.0;\ \-0.0"/>
    <numFmt numFmtId="238" formatCode="&quot;US&quot;;#.###&quot;%&quot;;mmm\-yy"/>
  </numFmts>
  <fonts count="18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12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sz val="12"/>
      <name val="Times New Roman"/>
      <family val="1"/>
    </font>
    <font>
      <sz val="12"/>
      <name val="Arial"/>
      <family val="2"/>
    </font>
    <font>
      <sz val="10"/>
      <name val="Arial"/>
      <family val="2"/>
    </font>
    <font>
      <sz val="11"/>
      <name val="ＭＳ Ｐゴシック"/>
      <family val="3"/>
      <charset val="128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10"/>
      <name val="Frutiger 45 Light"/>
      <family val="2"/>
    </font>
    <font>
      <sz val="10"/>
      <name val="Arial"/>
      <family val="2"/>
    </font>
    <font>
      <sz val="11"/>
      <color theme="1"/>
      <name val="Arial"/>
      <family val="2"/>
    </font>
    <font>
      <sz val="10"/>
      <name val="Arial"/>
      <family val="2"/>
    </font>
    <font>
      <b/>
      <sz val="24"/>
      <color indexed="10"/>
      <name val="Arial"/>
      <family val="2"/>
    </font>
    <font>
      <b/>
      <sz val="8"/>
      <color indexed="9"/>
      <name val="Arial"/>
      <family val="2"/>
    </font>
    <font>
      <sz val="8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0"/>
      <name val="MS Sans Serif"/>
      <family val="2"/>
    </font>
    <font>
      <sz val="8"/>
      <name val="Palatino"/>
      <family val="1"/>
    </font>
    <font>
      <sz val="12"/>
      <color indexed="8"/>
      <name val="Courier"/>
      <family val="3"/>
    </font>
    <font>
      <sz val="10"/>
      <name val="BERNHARD"/>
    </font>
    <font>
      <sz val="10"/>
      <name val="Helv"/>
    </font>
    <font>
      <sz val="10"/>
      <color indexed="24"/>
      <name val="Arial"/>
      <family val="2"/>
    </font>
    <font>
      <sz val="10"/>
      <name val="MS Serif"/>
      <family val="1"/>
    </font>
    <font>
      <sz val="8"/>
      <color indexed="18"/>
      <name val="Arial"/>
      <family val="2"/>
    </font>
    <font>
      <b/>
      <sz val="8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0"/>
      <color indexed="16"/>
      <name val="MS Serif"/>
      <family val="1"/>
    </font>
    <font>
      <sz val="18"/>
      <name val="Arial"/>
      <family val="2"/>
    </font>
    <font>
      <i/>
      <sz val="12"/>
      <name val="Arial"/>
      <family val="2"/>
    </font>
    <font>
      <sz val="18"/>
      <name val="Times New Roman"/>
      <family val="1"/>
    </font>
    <font>
      <sz val="8"/>
      <name val="Times New Roman"/>
      <family val="1"/>
    </font>
    <font>
      <i/>
      <sz val="12"/>
      <name val="Times New Roman"/>
      <family val="1"/>
    </font>
    <font>
      <b/>
      <sz val="9"/>
      <color indexed="23"/>
      <name val="Arial"/>
      <family val="2"/>
    </font>
    <font>
      <sz val="6"/>
      <color indexed="16"/>
      <name val="Palatino"/>
      <family val="1"/>
    </font>
    <font>
      <b/>
      <sz val="12"/>
      <name val="Arial"/>
      <family val="2"/>
    </font>
    <font>
      <sz val="10"/>
      <color indexed="9"/>
      <name val="Arial"/>
      <family val="2"/>
    </font>
    <font>
      <sz val="8"/>
      <color indexed="12"/>
      <name val="Arial"/>
      <family val="2"/>
    </font>
    <font>
      <u/>
      <sz val="10"/>
      <color indexed="12"/>
      <name val="Arial"/>
      <family val="2"/>
    </font>
    <font>
      <u/>
      <sz val="10"/>
      <color indexed="20"/>
      <name val="Arial"/>
      <family val="2"/>
    </font>
    <font>
      <sz val="10"/>
      <color indexed="8"/>
      <name val="MS Sans Serif"/>
      <family val="2"/>
    </font>
    <font>
      <b/>
      <sz val="10"/>
      <name val="Arial"/>
      <family val="2"/>
    </font>
    <font>
      <sz val="7"/>
      <name val="Small Fonts"/>
      <family val="2"/>
    </font>
    <font>
      <b/>
      <sz val="9"/>
      <color indexed="52"/>
      <name val="Arial"/>
      <family val="2"/>
    </font>
    <font>
      <sz val="9"/>
      <name val="Arial"/>
      <family val="2"/>
    </font>
    <font>
      <sz val="10"/>
      <name val="Helv"/>
      <family val="2"/>
    </font>
    <font>
      <sz val="10"/>
      <color indexed="16"/>
      <name val="Helvetica-Black"/>
      <family val="2"/>
    </font>
    <font>
      <b/>
      <sz val="10"/>
      <name val="Times New Roman"/>
      <family val="1"/>
    </font>
    <font>
      <sz val="10"/>
      <name val="Times New Roman"/>
      <family val="1"/>
    </font>
    <font>
      <sz val="8"/>
      <color indexed="62"/>
      <name val="Courier New"/>
      <family val="3"/>
    </font>
    <font>
      <sz val="8"/>
      <name val="Helv"/>
    </font>
    <font>
      <b/>
      <sz val="10"/>
      <color indexed="12"/>
      <name val="Arial"/>
      <family val="2"/>
    </font>
    <font>
      <sz val="8"/>
      <color indexed="16"/>
      <name val="Arial"/>
      <family val="2"/>
    </font>
    <font>
      <b/>
      <sz val="8"/>
      <color indexed="12"/>
      <name val="Arial"/>
      <family val="2"/>
    </font>
    <font>
      <b/>
      <sz val="8"/>
      <color indexed="8"/>
      <name val="Helv"/>
    </font>
    <font>
      <sz val="8"/>
      <color indexed="58"/>
      <name val="Arial"/>
      <family val="2"/>
    </font>
    <font>
      <b/>
      <sz val="9"/>
      <name val="Palatino"/>
      <family val="1"/>
    </font>
    <font>
      <sz val="9"/>
      <color indexed="21"/>
      <name val="Helvetica-Black"/>
      <family val="2"/>
    </font>
    <font>
      <b/>
      <sz val="9"/>
      <name val="Arial"/>
      <family val="2"/>
    </font>
    <font>
      <b/>
      <sz val="24"/>
      <color indexed="8"/>
      <name val="Arial"/>
      <family val="2"/>
    </font>
    <font>
      <b/>
      <sz val="8"/>
      <color indexed="8"/>
      <name val="Arial"/>
      <family val="2"/>
    </font>
    <font>
      <b/>
      <sz val="12"/>
      <color rgb="FF000000"/>
      <name val="Calibri"/>
      <family val="2"/>
    </font>
    <font>
      <sz val="11"/>
      <color indexed="8"/>
      <name val="Calibri"/>
      <family val="2"/>
    </font>
    <font>
      <sz val="11"/>
      <color indexed="8"/>
      <name val="Arial"/>
      <family val="2"/>
    </font>
    <font>
      <sz val="11"/>
      <color indexed="9"/>
      <name val="Calibri"/>
      <family val="2"/>
    </font>
    <font>
      <sz val="11"/>
      <color indexed="9"/>
      <name val="Arial"/>
      <family val="2"/>
    </font>
    <font>
      <sz val="11"/>
      <color indexed="20"/>
      <name val="Calibri"/>
      <family val="2"/>
    </font>
    <font>
      <sz val="11"/>
      <color indexed="20"/>
      <name val="Arial"/>
      <family val="2"/>
    </font>
    <font>
      <b/>
      <sz val="11"/>
      <color indexed="52"/>
      <name val="Calibri"/>
      <family val="2"/>
    </font>
    <font>
      <b/>
      <sz val="11"/>
      <color indexed="52"/>
      <name val="Arial"/>
      <family val="2"/>
    </font>
    <font>
      <b/>
      <sz val="11"/>
      <color indexed="9"/>
      <name val="Calibri"/>
      <family val="2"/>
    </font>
    <font>
      <b/>
      <sz val="11"/>
      <color indexed="9"/>
      <name val="Arial"/>
      <family val="2"/>
    </font>
    <font>
      <i/>
      <sz val="11"/>
      <color indexed="23"/>
      <name val="Calibri"/>
      <family val="2"/>
    </font>
    <font>
      <i/>
      <sz val="11"/>
      <color indexed="23"/>
      <name val="Arial"/>
      <family val="2"/>
    </font>
    <font>
      <sz val="11"/>
      <color indexed="17"/>
      <name val="Calibri"/>
      <family val="2"/>
    </font>
    <font>
      <sz val="11"/>
      <color indexed="17"/>
      <name val="Arial"/>
      <family val="2"/>
    </font>
    <font>
      <b/>
      <sz val="15"/>
      <color indexed="56"/>
      <name val="Calibri"/>
      <family val="2"/>
    </font>
    <font>
      <b/>
      <sz val="15"/>
      <color indexed="56"/>
      <name val="Arial"/>
      <family val="2"/>
    </font>
    <font>
      <b/>
      <sz val="13"/>
      <color indexed="56"/>
      <name val="Calibri"/>
      <family val="2"/>
    </font>
    <font>
      <b/>
      <sz val="13"/>
      <color indexed="56"/>
      <name val="Arial"/>
      <family val="2"/>
    </font>
    <font>
      <b/>
      <sz val="11"/>
      <color indexed="56"/>
      <name val="Calibri"/>
      <family val="2"/>
    </font>
    <font>
      <b/>
      <sz val="11"/>
      <color indexed="56"/>
      <name val="Arial"/>
      <family val="2"/>
    </font>
    <font>
      <sz val="11"/>
      <color indexed="62"/>
      <name val="Calibri"/>
      <family val="2"/>
    </font>
    <font>
      <sz val="11"/>
      <color indexed="62"/>
      <name val="Arial"/>
      <family val="2"/>
    </font>
    <font>
      <sz val="11"/>
      <color indexed="52"/>
      <name val="Calibri"/>
      <family val="2"/>
    </font>
    <font>
      <sz val="11"/>
      <color indexed="52"/>
      <name val="Arial"/>
      <family val="2"/>
    </font>
    <font>
      <sz val="11"/>
      <color indexed="60"/>
      <name val="Calibri"/>
      <family val="2"/>
    </font>
    <font>
      <sz val="11"/>
      <color indexed="60"/>
      <name val="Arial"/>
      <family val="2"/>
    </font>
    <font>
      <b/>
      <sz val="11"/>
      <color indexed="63"/>
      <name val="Calibri"/>
      <family val="2"/>
    </font>
    <font>
      <b/>
      <sz val="11"/>
      <color indexed="6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11"/>
      <color indexed="8"/>
      <name val="Arial"/>
      <family val="2"/>
    </font>
    <font>
      <sz val="11"/>
      <color indexed="10"/>
      <name val="Calibri"/>
      <family val="2"/>
    </font>
    <font>
      <sz val="11"/>
      <color indexed="10"/>
      <name val="Arial"/>
      <family val="2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indexed="10"/>
      <name val="Times New Roman"/>
      <family val="1"/>
    </font>
    <font>
      <b/>
      <i/>
      <sz val="10"/>
      <name val="Times New Roman"/>
      <family val="1"/>
    </font>
    <font>
      <b/>
      <i/>
      <u/>
      <sz val="12"/>
      <name val="Times New Roman"/>
      <family val="1"/>
    </font>
    <font>
      <b/>
      <i/>
      <sz val="12"/>
      <name val="Times New Roman"/>
      <family val="1"/>
    </font>
    <font>
      <b/>
      <sz val="10"/>
      <name val="Courier New"/>
      <family val="3"/>
    </font>
    <font>
      <b/>
      <u/>
      <sz val="11"/>
      <name val="Times New Roman"/>
      <family val="1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indexed="8"/>
      <name val="Arial"/>
      <family val="2"/>
    </font>
    <font>
      <sz val="8"/>
      <color indexed="14"/>
      <name val="Helv"/>
      <family val="2"/>
    </font>
    <font>
      <sz val="11"/>
      <color indexed="16"/>
      <name val="Calibri"/>
      <family val="2"/>
      <scheme val="minor"/>
    </font>
    <font>
      <b/>
      <sz val="11"/>
      <color indexed="17"/>
      <name val="Calibri"/>
      <family val="2"/>
      <scheme val="minor"/>
    </font>
    <font>
      <sz val="10"/>
      <name val="MS Sans Serif"/>
      <family val="2"/>
    </font>
    <font>
      <strike/>
      <sz val="10"/>
      <name val="Times New Roman"/>
      <family val="1"/>
    </font>
    <font>
      <sz val="12"/>
      <name val="Tms Rmn"/>
      <family val="1"/>
    </font>
    <font>
      <sz val="12"/>
      <color indexed="24"/>
      <name val="Arial"/>
      <family val="2"/>
    </font>
    <font>
      <sz val="8"/>
      <color indexed="27"/>
      <name val="Arial"/>
      <family val="2"/>
    </font>
    <font>
      <shadow/>
      <sz val="10"/>
      <name val="Times New Roman"/>
      <family val="1"/>
    </font>
    <font>
      <sz val="8"/>
      <color indexed="54"/>
      <name val="Arial"/>
      <family val="2"/>
    </font>
    <font>
      <sz val="10"/>
      <color indexed="8"/>
      <name val="Times New Roman"/>
      <family val="1"/>
    </font>
    <font>
      <i/>
      <sz val="11"/>
      <color indexed="31"/>
      <name val="Calibri"/>
      <family val="2"/>
      <scheme val="minor"/>
    </font>
    <font>
      <sz val="8"/>
      <color indexed="9"/>
      <name val="Arial"/>
      <family val="2"/>
    </font>
    <font>
      <sz val="11"/>
      <color indexed="15"/>
      <name val="Calibri"/>
      <family val="2"/>
      <scheme val="minor"/>
    </font>
    <font>
      <sz val="8"/>
      <color indexed="24"/>
      <name val="Arial"/>
      <family val="2"/>
    </font>
    <font>
      <b/>
      <sz val="15"/>
      <color indexed="61"/>
      <name val="Calibri"/>
      <family val="2"/>
      <scheme val="minor"/>
    </font>
    <font>
      <sz val="8"/>
      <color indexed="25"/>
      <name val="Arial"/>
      <family val="2"/>
    </font>
    <font>
      <b/>
      <sz val="13"/>
      <color indexed="61"/>
      <name val="Calibri"/>
      <family val="2"/>
      <scheme val="minor"/>
    </font>
    <font>
      <b/>
      <sz val="11"/>
      <color indexed="61"/>
      <name val="Calibri"/>
      <family val="2"/>
      <scheme val="minor"/>
    </font>
    <font>
      <sz val="11"/>
      <color indexed="61"/>
      <name val="Calibri"/>
      <family val="2"/>
    </font>
    <font>
      <b/>
      <sz val="8"/>
      <color indexed="25"/>
      <name val="Arial"/>
      <family val="2"/>
    </font>
    <font>
      <sz val="8"/>
      <color indexed="26"/>
      <name val="Arial"/>
      <family val="2"/>
    </font>
    <font>
      <sz val="11"/>
      <color indexed="61"/>
      <name val="Calibri"/>
      <family val="2"/>
      <scheme val="minor"/>
    </font>
    <font>
      <sz val="8"/>
      <color indexed="55"/>
      <name val="Arial"/>
      <family val="2"/>
    </font>
    <font>
      <sz val="11"/>
      <color indexed="17"/>
      <name val="Calibri"/>
      <family val="2"/>
      <scheme val="minor"/>
    </font>
    <font>
      <i/>
      <sz val="8"/>
      <color indexed="13"/>
      <name val="Arial"/>
      <family val="2"/>
    </font>
    <font>
      <sz val="11"/>
      <color indexed="59"/>
      <name val="Calibri"/>
      <family val="2"/>
      <scheme val="minor"/>
    </font>
    <font>
      <sz val="8"/>
      <color theme="1"/>
      <name val="Arial"/>
      <family val="2"/>
    </font>
    <font>
      <b/>
      <sz val="11"/>
      <color indexed="62"/>
      <name val="Calibri"/>
      <family val="2"/>
      <scheme val="minor"/>
    </font>
    <font>
      <sz val="11"/>
      <name val="Arial"/>
      <family val="2"/>
    </font>
    <font>
      <sz val="10"/>
      <color indexed="16"/>
      <name val="Helvetica-Black"/>
    </font>
    <font>
      <sz val="10"/>
      <name val="Futura UBS Bk"/>
      <family val="2"/>
    </font>
    <font>
      <b/>
      <sz val="8"/>
      <color indexed="24"/>
      <name val="Arial"/>
      <family val="2"/>
    </font>
    <font>
      <sz val="9"/>
      <color indexed="21"/>
      <name val="Helvetica-Black"/>
    </font>
    <font>
      <b/>
      <sz val="18"/>
      <color indexed="61"/>
      <name val="Cambria"/>
      <family val="2"/>
    </font>
    <font>
      <b/>
      <sz val="18"/>
      <color indexed="61"/>
      <name val="Cambria"/>
      <family val="2"/>
      <scheme val="major"/>
    </font>
    <font>
      <sz val="10"/>
      <color theme="1"/>
      <name val="Arial"/>
      <family val="2"/>
    </font>
    <font>
      <b/>
      <sz val="11"/>
      <color indexed="17"/>
      <name val="Calibri"/>
      <family val="2"/>
    </font>
    <font>
      <i/>
      <sz val="11"/>
      <color indexed="31"/>
      <name val="Calibri"/>
      <family val="2"/>
    </font>
    <font>
      <sz val="11"/>
      <color indexed="15"/>
      <name val="Calibri"/>
      <family val="2"/>
    </font>
    <font>
      <b/>
      <sz val="15"/>
      <color indexed="61"/>
      <name val="Calibri"/>
      <family val="2"/>
    </font>
    <font>
      <b/>
      <sz val="13"/>
      <color indexed="61"/>
      <name val="Calibri"/>
      <family val="2"/>
    </font>
    <font>
      <b/>
      <sz val="11"/>
      <color indexed="61"/>
      <name val="Calibri"/>
      <family val="2"/>
    </font>
    <font>
      <sz val="11"/>
      <color indexed="59"/>
      <name val="Calibri"/>
      <family val="2"/>
    </font>
    <font>
      <b/>
      <sz val="11"/>
      <color indexed="62"/>
      <name val="Calibri"/>
      <family val="2"/>
    </font>
    <font>
      <b/>
      <sz val="12"/>
      <color rgb="FFFF0000"/>
      <name val="Times New Roman"/>
      <family val="1"/>
    </font>
    <font>
      <sz val="12"/>
      <color theme="1"/>
      <name val="Times New Roman"/>
      <family val="1"/>
    </font>
    <font>
      <b/>
      <sz val="12"/>
      <color rgb="FF000000"/>
      <name val="Times New Roman"/>
      <family val="1"/>
    </font>
    <font>
      <sz val="12"/>
      <color indexed="8"/>
      <name val="Times New Roman"/>
      <family val="1"/>
    </font>
    <font>
      <sz val="10"/>
      <color indexed="10"/>
      <name val="Arial"/>
      <family val="2"/>
    </font>
    <font>
      <sz val="10"/>
      <color rgb="FF222222"/>
      <name val="Arial"/>
      <family val="2"/>
    </font>
    <font>
      <sz val="10"/>
      <color theme="1"/>
      <name val="Univers"/>
      <family val="2"/>
    </font>
    <font>
      <sz val="11"/>
      <name val="Times New Roman"/>
      <family val="1"/>
    </font>
    <font>
      <sz val="10"/>
      <name val="Univers"/>
      <family val="2"/>
    </font>
    <font>
      <sz val="12"/>
      <name val="Calibri"/>
      <family val="2"/>
    </font>
  </fonts>
  <fills count="86">
    <fill>
      <patternFill patternType="none"/>
    </fill>
    <fill>
      <patternFill patternType="gray125"/>
    </fill>
    <fill>
      <patternFill patternType="solid">
        <fgColor indexed="43"/>
      </patternFill>
    </fill>
    <fill>
      <patternFill patternType="solid">
        <fgColor indexed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2"/>
        <bgColor indexed="64"/>
      </patternFill>
    </fill>
    <fill>
      <patternFill patternType="darkGray">
        <fgColor indexed="21"/>
      </patternFill>
    </fill>
    <fill>
      <patternFill patternType="solid">
        <fgColor indexed="30"/>
        <bgColor indexed="64"/>
      </patternFill>
    </fill>
    <fill>
      <patternFill patternType="mediumGray">
        <fgColor indexed="24"/>
        <bgColor indexed="40"/>
      </patternFill>
    </fill>
    <fill>
      <patternFill patternType="mediumGray">
        <fgColor indexed="48"/>
        <bgColor indexed="40"/>
      </patternFill>
    </fill>
    <fill>
      <patternFill patternType="mediumGray">
        <fgColor indexed="42"/>
        <bgColor indexed="26"/>
      </patternFill>
    </fill>
    <fill>
      <patternFill patternType="solid">
        <fgColor indexed="45"/>
        <bgColor indexed="64"/>
      </patternFill>
    </fill>
    <fill>
      <patternFill patternType="solid">
        <fgColor indexed="18"/>
        <bgColor indexed="64"/>
      </patternFill>
    </fill>
    <fill>
      <patternFill patternType="lightGray">
        <fgColor indexed="15"/>
      </patternFill>
    </fill>
    <fill>
      <patternFill patternType="solid">
        <fgColor indexed="26"/>
        <bgColor indexed="64"/>
      </patternFill>
    </fill>
    <fill>
      <patternFill patternType="lightGray">
        <fgColor indexed="22"/>
      </patternFill>
    </fill>
    <fill>
      <patternFill patternType="gray125">
        <fgColor indexed="13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7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mediumGray">
        <fgColor indexed="26"/>
        <bgColor indexed="27"/>
      </patternFill>
    </fill>
    <fill>
      <patternFill patternType="solid">
        <fgColor indexed="62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29"/>
        <bgColor indexed="64"/>
      </patternFill>
    </fill>
    <fill>
      <patternFill patternType="mediumGray">
        <fgColor indexed="9"/>
        <bgColor indexed="27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mediumGray">
        <fgColor indexed="9"/>
        <bgColor indexed="22"/>
      </patternFill>
    </fill>
    <fill>
      <patternFill patternType="mediumGray">
        <fgColor indexed="9"/>
        <bgColor indexed="26"/>
      </patternFill>
    </fill>
    <fill>
      <patternFill patternType="mediumGray">
        <fgColor indexed="26"/>
        <bgColor indexed="9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rgb="FFFFC000"/>
        <bgColor indexed="64"/>
      </patternFill>
    </fill>
    <fill>
      <patternFill patternType="solid">
        <fgColor rgb="FFFFC7CE"/>
      </patternFill>
    </fill>
    <fill>
      <patternFill patternType="solid">
        <fgColor theme="7" tint="0.79998168889431442"/>
        <bgColor indexed="65"/>
      </patternFill>
    </fill>
    <fill>
      <patternFill patternType="solid">
        <fgColor indexed="24"/>
      </patternFill>
    </fill>
    <fill>
      <patternFill patternType="solid">
        <fgColor indexed="20"/>
      </patternFill>
    </fill>
    <fill>
      <patternFill patternType="solid">
        <fgColor indexed="13"/>
      </patternFill>
    </fill>
    <fill>
      <patternFill patternType="solid">
        <fgColor indexed="50"/>
      </patternFill>
    </fill>
    <fill>
      <patternFill patternType="solid">
        <fgColor indexed="14"/>
      </patternFill>
    </fill>
    <fill>
      <patternFill patternType="solid">
        <fgColor indexed="17"/>
      </patternFill>
    </fill>
    <fill>
      <patternFill patternType="solid">
        <fgColor indexed="9"/>
      </patternFill>
    </fill>
    <fill>
      <patternFill patternType="solid">
        <fgColor indexed="28"/>
      </patternFill>
    </fill>
    <fill>
      <patternFill patternType="solid">
        <fgColor indexed="24"/>
        <bgColor indexed="64"/>
      </patternFill>
    </fill>
    <fill>
      <patternFill patternType="solid">
        <fgColor indexed="41"/>
      </patternFill>
    </fill>
    <fill>
      <patternFill patternType="solid">
        <fgColor indexed="57"/>
        <bgColor indexed="64"/>
      </patternFill>
    </fill>
    <fill>
      <patternFill patternType="mediumGray">
        <fgColor indexed="22"/>
      </patternFill>
    </fill>
    <fill>
      <patternFill patternType="solid">
        <fgColor indexed="27"/>
        <bgColor indexed="64"/>
      </patternFill>
    </fill>
    <fill>
      <patternFill patternType="solid">
        <fgColor indexed="8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rgb="FF000000"/>
      </patternFill>
    </fill>
  </fills>
  <borders count="52">
    <border>
      <left/>
      <right/>
      <top/>
      <bottom/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45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45"/>
      </bottom>
      <diagonal/>
    </border>
    <border>
      <left/>
      <right/>
      <top style="medium">
        <color indexed="45"/>
      </top>
      <bottom/>
      <diagonal/>
    </border>
    <border>
      <left/>
      <right/>
      <top/>
      <bottom style="double">
        <color indexed="45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indexed="18"/>
      </top>
      <bottom style="thin">
        <color indexed="18"/>
      </bottom>
      <diagonal/>
    </border>
    <border>
      <left style="thin">
        <color indexed="31"/>
      </left>
      <right style="thin">
        <color indexed="31"/>
      </right>
      <top style="thin">
        <color indexed="31"/>
      </top>
      <bottom style="thin">
        <color indexed="31"/>
      </bottom>
      <diagonal/>
    </border>
    <border>
      <left style="double">
        <color indexed="62"/>
      </left>
      <right style="double">
        <color indexed="62"/>
      </right>
      <top style="double">
        <color indexed="62"/>
      </top>
      <bottom style="double">
        <color indexed="62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/>
      <bottom style="thick">
        <color indexed="29"/>
      </bottom>
      <diagonal/>
    </border>
    <border>
      <left/>
      <right/>
      <top/>
      <bottom style="thick">
        <color indexed="30"/>
      </bottom>
      <diagonal/>
    </border>
    <border>
      <left/>
      <right/>
      <top/>
      <bottom style="double">
        <color indexed="17"/>
      </bottom>
      <diagonal/>
    </border>
    <border>
      <left style="thin">
        <color indexed="62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indexed="22"/>
      </left>
      <right style="thin">
        <color indexed="61"/>
      </right>
      <top style="thin">
        <color indexed="22"/>
      </top>
      <bottom style="thin">
        <color indexed="61"/>
      </bottom>
      <diagonal/>
    </border>
    <border>
      <left/>
      <right/>
      <top style="thin">
        <color indexed="29"/>
      </top>
      <bottom style="double">
        <color indexed="29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3681">
    <xf numFmtId="0" fontId="0" fillId="0" borderId="0"/>
    <xf numFmtId="167" fontId="19" fillId="0" borderId="0" applyFont="0" applyFill="0" applyBorder="0" applyAlignment="0" applyProtection="0"/>
    <xf numFmtId="168" fontId="19" fillId="0" borderId="0" applyFont="0" applyFill="0" applyBorder="0" applyAlignment="0" applyProtection="0"/>
    <xf numFmtId="169" fontId="19" fillId="0" borderId="0" applyFont="0" applyFill="0" applyBorder="0" applyAlignment="0" applyProtection="0"/>
    <xf numFmtId="170" fontId="19" fillId="0" borderId="0" applyFont="0" applyFill="0" applyBorder="0" applyAlignment="0" applyProtection="0"/>
    <xf numFmtId="171" fontId="19" fillId="0" borderId="0" applyFont="0" applyFill="0" applyBorder="0" applyAlignment="0" applyProtection="0"/>
    <xf numFmtId="172" fontId="19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9" fillId="2" borderId="0" applyNumberFormat="0" applyFont="0" applyAlignment="0" applyProtection="0"/>
    <xf numFmtId="173" fontId="19" fillId="0" borderId="0" applyFont="0" applyFill="0" applyBorder="0" applyAlignment="0" applyProtection="0"/>
    <xf numFmtId="174" fontId="19" fillId="0" borderId="0" applyFont="0" applyFill="0" applyBorder="0" applyProtection="0">
      <alignment horizontal="right"/>
    </xf>
    <xf numFmtId="0" fontId="22" fillId="0" borderId="0" applyNumberFormat="0" applyFill="0" applyBorder="0" applyProtection="0">
      <alignment vertical="top"/>
    </xf>
    <xf numFmtId="0" fontId="22" fillId="0" borderId="0" applyNumberFormat="0" applyFill="0" applyBorder="0" applyProtection="0">
      <alignment vertical="top"/>
    </xf>
    <xf numFmtId="0" fontId="22" fillId="0" borderId="0" applyNumberFormat="0" applyFill="0" applyBorder="0" applyProtection="0">
      <alignment vertical="top"/>
    </xf>
    <xf numFmtId="0" fontId="22" fillId="0" borderId="0" applyNumberFormat="0" applyFill="0" applyBorder="0" applyProtection="0">
      <alignment vertical="top"/>
    </xf>
    <xf numFmtId="0" fontId="22" fillId="0" borderId="0" applyNumberFormat="0" applyFill="0" applyBorder="0" applyProtection="0">
      <alignment vertical="top"/>
    </xf>
    <xf numFmtId="0" fontId="23" fillId="0" borderId="1" applyNumberFormat="0" applyFill="0" applyAlignment="0" applyProtection="0"/>
    <xf numFmtId="0" fontId="23" fillId="0" borderId="1" applyNumberFormat="0" applyFill="0" applyAlignment="0" applyProtection="0"/>
    <xf numFmtId="0" fontId="23" fillId="0" borderId="1" applyNumberFormat="0" applyFill="0" applyAlignment="0" applyProtection="0"/>
    <xf numFmtId="0" fontId="23" fillId="0" borderId="1" applyNumberFormat="0" applyFill="0" applyAlignment="0" applyProtection="0"/>
    <xf numFmtId="0" fontId="23" fillId="0" borderId="1" applyNumberFormat="0" applyFill="0" applyAlignment="0" applyProtection="0"/>
    <xf numFmtId="0" fontId="24" fillId="0" borderId="2" applyNumberFormat="0" applyFill="0" applyProtection="0">
      <alignment horizontal="center"/>
    </xf>
    <xf numFmtId="0" fontId="24" fillId="0" borderId="2" applyNumberFormat="0" applyFill="0" applyProtection="0">
      <alignment horizontal="center"/>
    </xf>
    <xf numFmtId="0" fontId="24" fillId="0" borderId="2" applyNumberFormat="0" applyFill="0" applyProtection="0">
      <alignment horizontal="center"/>
    </xf>
    <xf numFmtId="0" fontId="24" fillId="0" borderId="2" applyNumberFormat="0" applyFill="0" applyProtection="0">
      <alignment horizontal="center"/>
    </xf>
    <xf numFmtId="0" fontId="24" fillId="0" borderId="2" applyNumberFormat="0" applyFill="0" applyProtection="0">
      <alignment horizontal="center"/>
    </xf>
    <xf numFmtId="0" fontId="24" fillId="0" borderId="0" applyNumberFormat="0" applyFill="0" applyBorder="0" applyProtection="0">
      <alignment horizontal="left"/>
    </xf>
    <xf numFmtId="0" fontId="24" fillId="0" borderId="0" applyNumberFormat="0" applyFill="0" applyBorder="0" applyProtection="0">
      <alignment horizontal="left"/>
    </xf>
    <xf numFmtId="0" fontId="24" fillId="0" borderId="0" applyNumberFormat="0" applyFill="0" applyBorder="0" applyProtection="0">
      <alignment horizontal="left"/>
    </xf>
    <xf numFmtId="0" fontId="24" fillId="0" borderId="0" applyNumberFormat="0" applyFill="0" applyBorder="0" applyProtection="0">
      <alignment horizontal="left"/>
    </xf>
    <xf numFmtId="0" fontId="24" fillId="0" borderId="0" applyNumberFormat="0" applyFill="0" applyBorder="0" applyProtection="0">
      <alignment horizontal="left"/>
    </xf>
    <xf numFmtId="0" fontId="25" fillId="0" borderId="0" applyNumberFormat="0" applyFill="0" applyBorder="0" applyProtection="0">
      <alignment horizontal="centerContinuous"/>
    </xf>
    <xf numFmtId="0" fontId="25" fillId="0" borderId="0" applyNumberFormat="0" applyFill="0" applyBorder="0" applyProtection="0">
      <alignment horizontal="centerContinuous"/>
    </xf>
    <xf numFmtId="0" fontId="25" fillId="0" borderId="0" applyNumberFormat="0" applyFill="0" applyBorder="0" applyProtection="0">
      <alignment horizontal="centerContinuous"/>
    </xf>
    <xf numFmtId="0" fontId="25" fillId="0" borderId="0" applyNumberFormat="0" applyFill="0" applyBorder="0" applyProtection="0">
      <alignment horizontal="centerContinuous"/>
    </xf>
    <xf numFmtId="0" fontId="25" fillId="0" borderId="0" applyNumberFormat="0" applyFill="0" applyBorder="0" applyProtection="0">
      <alignment horizontal="centerContinuous"/>
    </xf>
    <xf numFmtId="43" fontId="19" fillId="0" borderId="0" applyFont="0" applyFill="0" applyBorder="0" applyAlignment="0" applyProtection="0"/>
    <xf numFmtId="166" fontId="19" fillId="0" borderId="0" applyFont="0" applyFill="0" applyBorder="0" applyAlignment="0" applyProtection="0"/>
    <xf numFmtId="175" fontId="19" fillId="0" borderId="0" applyFont="0" applyFill="0" applyBorder="0" applyAlignment="0" applyProtection="0"/>
    <xf numFmtId="0" fontId="20" fillId="0" borderId="0"/>
    <xf numFmtId="0" fontId="26" fillId="0" borderId="0" applyNumberFormat="0">
      <alignment vertical="center"/>
    </xf>
    <xf numFmtId="9" fontId="15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5" fillId="0" borderId="0"/>
    <xf numFmtId="43" fontId="15" fillId="0" borderId="0" applyFont="0" applyFill="0" applyBorder="0" applyAlignment="0" applyProtection="0"/>
    <xf numFmtId="43" fontId="27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28" fillId="0" borderId="0"/>
    <xf numFmtId="0" fontId="13" fillId="0" borderId="0"/>
    <xf numFmtId="0" fontId="13" fillId="0" borderId="0"/>
    <xf numFmtId="0" fontId="13" fillId="0" borderId="0"/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29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29" fillId="0" borderId="0">
      <alignment horizontal="left" wrapText="1"/>
    </xf>
    <xf numFmtId="0" fontId="29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29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29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29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29" fillId="0" borderId="0">
      <alignment horizontal="left" wrapText="1"/>
    </xf>
    <xf numFmtId="0" fontId="29" fillId="0" borderId="0">
      <alignment horizontal="left" wrapText="1"/>
    </xf>
    <xf numFmtId="0" fontId="29" fillId="0" borderId="0">
      <alignment vertical="top"/>
    </xf>
    <xf numFmtId="0" fontId="30" fillId="5" borderId="0" applyNumberFormat="0" applyFont="0" applyBorder="0" applyAlignment="0" applyProtection="0">
      <alignment horizontal="left"/>
    </xf>
    <xf numFmtId="176" fontId="13" fillId="6" borderId="0" applyNumberFormat="0" applyFont="0" applyBorder="0" applyAlignment="0" applyProtection="0">
      <protection hidden="1"/>
    </xf>
    <xf numFmtId="0" fontId="31" fillId="7" borderId="0">
      <alignment horizontal="left"/>
    </xf>
    <xf numFmtId="0" fontId="32" fillId="8" borderId="4">
      <protection hidden="1"/>
    </xf>
    <xf numFmtId="2" fontId="33" fillId="3" borderId="4" applyProtection="0">
      <alignment horizontal="left"/>
      <protection locked="0"/>
    </xf>
    <xf numFmtId="0" fontId="32" fillId="9" borderId="4">
      <protection hidden="1"/>
    </xf>
    <xf numFmtId="0" fontId="34" fillId="0" borderId="0" applyNumberFormat="0" applyFill="0" applyBorder="0" applyAlignment="0" applyProtection="0"/>
    <xf numFmtId="5" fontId="35" fillId="0" borderId="5" applyAlignment="0" applyProtection="0"/>
    <xf numFmtId="0" fontId="32" fillId="0" borderId="6" applyBorder="0">
      <protection locked="0"/>
    </xf>
    <xf numFmtId="177" fontId="29" fillId="0" borderId="0" applyFill="0" applyBorder="0" applyAlignment="0"/>
    <xf numFmtId="0" fontId="36" fillId="0" borderId="0" applyFont="0" applyFill="0" applyBorder="0" applyAlignment="0" applyProtection="0">
      <alignment horizontal="right"/>
    </xf>
    <xf numFmtId="3" fontId="37" fillId="0" borderId="0">
      <protection locked="0"/>
    </xf>
    <xf numFmtId="0" fontId="38" fillId="0" borderId="0"/>
    <xf numFmtId="0" fontId="39" fillId="0" borderId="0"/>
    <xf numFmtId="3" fontId="40" fillId="0" borderId="0" applyFont="0" applyFill="0" applyBorder="0" applyAlignment="0" applyProtection="0"/>
    <xf numFmtId="0" fontId="38" fillId="0" borderId="0"/>
    <xf numFmtId="0" fontId="39" fillId="0" borderId="0"/>
    <xf numFmtId="0" fontId="41" fillId="0" borderId="0" applyNumberFormat="0" applyAlignment="0">
      <alignment horizontal="left"/>
    </xf>
    <xf numFmtId="178" fontId="42" fillId="10" borderId="0" applyNumberFormat="0" applyAlignment="0" applyProtection="0">
      <alignment horizontal="center"/>
      <protection locked="0"/>
    </xf>
    <xf numFmtId="0" fontId="36" fillId="0" borderId="0" applyFont="0" applyFill="0" applyBorder="0" applyAlignment="0" applyProtection="0">
      <alignment horizontal="right"/>
    </xf>
    <xf numFmtId="0" fontId="36" fillId="0" borderId="0" applyFont="0" applyFill="0" applyBorder="0" applyAlignment="0" applyProtection="0">
      <alignment horizontal="right"/>
    </xf>
    <xf numFmtId="0" fontId="37" fillId="0" borderId="0">
      <protection locked="0"/>
    </xf>
    <xf numFmtId="0" fontId="29" fillId="0" borderId="0" applyNumberFormat="0" applyFont="0" applyFill="0" applyBorder="0" applyAlignment="0" applyProtection="0"/>
    <xf numFmtId="0" fontId="13" fillId="11" borderId="0" applyNumberFormat="0" applyBorder="0" applyAlignment="0" applyProtection="0"/>
    <xf numFmtId="0" fontId="37" fillId="0" borderId="0">
      <protection locked="0"/>
    </xf>
    <xf numFmtId="0" fontId="36" fillId="0" borderId="0" applyFont="0" applyFill="0" applyBorder="0" applyAlignment="0" applyProtection="0"/>
    <xf numFmtId="0" fontId="43" fillId="3" borderId="0">
      <alignment horizontal="left"/>
    </xf>
    <xf numFmtId="0" fontId="44" fillId="0" borderId="0">
      <protection locked="0"/>
    </xf>
    <xf numFmtId="0" fontId="36" fillId="0" borderId="7" applyNumberFormat="0" applyFont="0" applyFill="0" applyAlignment="0" applyProtection="0"/>
    <xf numFmtId="0" fontId="45" fillId="0" borderId="0">
      <protection locked="0"/>
    </xf>
    <xf numFmtId="0" fontId="45" fillId="0" borderId="0">
      <protection locked="0"/>
    </xf>
    <xf numFmtId="0" fontId="46" fillId="0" borderId="0" applyNumberFormat="0" applyAlignment="0">
      <alignment horizontal="left"/>
    </xf>
    <xf numFmtId="0" fontId="17" fillId="0" borderId="0" applyNumberFormat="0" applyFill="0" applyBorder="0" applyAlignment="0" applyProtection="0"/>
    <xf numFmtId="0" fontId="47" fillId="0" borderId="0" applyProtection="0"/>
    <xf numFmtId="0" fontId="32" fillId="0" borderId="0" applyProtection="0"/>
    <xf numFmtId="0" fontId="48" fillId="0" borderId="0" applyProtection="0"/>
    <xf numFmtId="0" fontId="17" fillId="0" borderId="0" applyProtection="0"/>
    <xf numFmtId="0" fontId="49" fillId="0" borderId="0" applyProtection="0"/>
    <xf numFmtId="0" fontId="50" fillId="0" borderId="0" applyProtection="0"/>
    <xf numFmtId="0" fontId="51" fillId="0" borderId="0" applyProtection="0"/>
    <xf numFmtId="0" fontId="44" fillId="0" borderId="0">
      <protection locked="0"/>
    </xf>
    <xf numFmtId="0" fontId="44" fillId="0" borderId="0">
      <protection locked="0"/>
    </xf>
    <xf numFmtId="0" fontId="37" fillId="0" borderId="0">
      <protection locked="0"/>
    </xf>
    <xf numFmtId="0" fontId="50" fillId="0" borderId="0" applyFill="0" applyBorder="0" applyProtection="0">
      <alignment horizontal="left"/>
    </xf>
    <xf numFmtId="2" fontId="52" fillId="3" borderId="4" applyProtection="0">
      <alignment horizontal="left"/>
      <protection locked="0"/>
    </xf>
    <xf numFmtId="38" fontId="32" fillId="5" borderId="0" applyNumberFormat="0" applyBorder="0" applyAlignment="0" applyProtection="0"/>
    <xf numFmtId="0" fontId="36" fillId="0" borderId="0" applyFont="0" applyFill="0" applyBorder="0" applyAlignment="0" applyProtection="0">
      <alignment horizontal="right"/>
    </xf>
    <xf numFmtId="0" fontId="53" fillId="0" borderId="0" applyProtection="0">
      <alignment horizontal="right"/>
    </xf>
    <xf numFmtId="0" fontId="54" fillId="0" borderId="8" applyNumberFormat="0" applyAlignment="0" applyProtection="0">
      <alignment horizontal="left" vertical="center"/>
    </xf>
    <xf numFmtId="0" fontId="54" fillId="0" borderId="9">
      <alignment horizontal="left" vertical="center"/>
    </xf>
    <xf numFmtId="0" fontId="55" fillId="12" borderId="10" applyNumberFormat="0" applyBorder="0" applyAlignment="0" applyProtection="0">
      <alignment textRotation="90"/>
    </xf>
    <xf numFmtId="0" fontId="13" fillId="13" borderId="0" applyNumberFormat="0" applyFont="0" applyBorder="0" applyAlignment="0" applyProtection="0">
      <protection hidden="1"/>
    </xf>
    <xf numFmtId="10" fontId="32" fillId="14" borderId="11" applyNumberFormat="0" applyBorder="0" applyAlignment="0" applyProtection="0"/>
    <xf numFmtId="0" fontId="56" fillId="0" borderId="0" applyNumberFormat="0" applyFill="0" applyBorder="0" applyAlignment="0">
      <protection locked="0"/>
    </xf>
    <xf numFmtId="0" fontId="57" fillId="0" borderId="0" applyNumberFormat="0" applyFill="0" applyBorder="0" applyAlignment="0" applyProtection="0">
      <alignment vertical="top"/>
      <protection locked="0"/>
    </xf>
    <xf numFmtId="0" fontId="58" fillId="0" borderId="0" applyNumberFormat="0" applyFill="0" applyBorder="0" applyAlignment="0" applyProtection="0">
      <alignment vertical="top"/>
      <protection locked="0"/>
    </xf>
    <xf numFmtId="0" fontId="58" fillId="0" borderId="0" applyNumberFormat="0" applyFill="0" applyBorder="0" applyAlignment="0" applyProtection="0">
      <alignment vertical="top"/>
      <protection locked="0"/>
    </xf>
    <xf numFmtId="0" fontId="57" fillId="0" borderId="0" applyNumberFormat="0" applyFill="0" applyBorder="0" applyAlignment="0" applyProtection="0">
      <alignment vertical="top"/>
      <protection locked="0"/>
    </xf>
    <xf numFmtId="0" fontId="13" fillId="15" borderId="0" applyNumberFormat="0" applyFont="0" applyBorder="0" applyAlignment="0" applyProtection="0">
      <protection hidden="1"/>
    </xf>
    <xf numFmtId="0" fontId="13" fillId="16" borderId="0" applyNumberFormat="0" applyFont="0" applyBorder="0" applyAlignment="0" applyProtection="0">
      <protection hidden="1"/>
    </xf>
    <xf numFmtId="179" fontId="29" fillId="0" borderId="0" applyFont="0" applyFill="0" applyBorder="0" applyAlignment="0" applyProtection="0"/>
    <xf numFmtId="180" fontId="29" fillId="0" borderId="0" applyFont="0" applyFill="0" applyBorder="0" applyAlignment="0" applyProtection="0"/>
    <xf numFmtId="181" fontId="13" fillId="0" borderId="0" applyFont="0" applyFill="0" applyBorder="0" applyAlignment="0" applyProtection="0"/>
    <xf numFmtId="182" fontId="13" fillId="0" borderId="0" applyFont="0" applyFill="0" applyBorder="0" applyAlignment="0" applyProtection="0"/>
    <xf numFmtId="42" fontId="59" fillId="0" borderId="0" applyFont="0" applyFill="0" applyBorder="0" applyAlignment="0" applyProtection="0"/>
    <xf numFmtId="44" fontId="59" fillId="0" borderId="0" applyFont="0" applyFill="0" applyBorder="0" applyAlignment="0" applyProtection="0"/>
    <xf numFmtId="183" fontId="13" fillId="0" borderId="0" applyFont="0" applyFill="0" applyBorder="0" applyAlignment="0" applyProtection="0"/>
    <xf numFmtId="184" fontId="13" fillId="0" borderId="0" applyFont="0" applyFill="0" applyBorder="0" applyAlignment="0" applyProtection="0"/>
    <xf numFmtId="185" fontId="29" fillId="0" borderId="0" applyFont="0" applyFill="0" applyBorder="0" applyAlignment="0" applyProtection="0"/>
    <xf numFmtId="186" fontId="29" fillId="0" borderId="0" applyFont="0" applyFill="0" applyBorder="0" applyAlignment="0" applyProtection="0"/>
    <xf numFmtId="183" fontId="13" fillId="0" borderId="0" applyFont="0" applyFill="0" applyBorder="0" applyAlignment="0" applyProtection="0"/>
    <xf numFmtId="184" fontId="13" fillId="0" borderId="0" applyFont="0" applyFill="0" applyBorder="0" applyAlignment="0" applyProtection="0"/>
    <xf numFmtId="0" fontId="44" fillId="0" borderId="0">
      <protection locked="0"/>
    </xf>
    <xf numFmtId="0" fontId="60" fillId="0" borderId="0" applyNumberFormat="0" applyFill="0" applyBorder="0" applyAlignment="0" applyProtection="0"/>
    <xf numFmtId="0" fontId="36" fillId="0" borderId="0" applyFont="0" applyFill="0" applyBorder="0" applyAlignment="0" applyProtection="0">
      <alignment horizontal="right"/>
    </xf>
    <xf numFmtId="187" fontId="36" fillId="0" borderId="0" applyFont="0" applyFill="0" applyBorder="0" applyAlignment="0" applyProtection="0">
      <alignment horizontal="right"/>
    </xf>
    <xf numFmtId="0" fontId="29" fillId="0" borderId="0" applyNumberFormat="0" applyFont="0" applyFill="0" applyBorder="0" applyAlignment="0" applyProtection="0"/>
    <xf numFmtId="37" fontId="61" fillId="0" borderId="0"/>
    <xf numFmtId="188" fontId="29" fillId="0" borderId="0"/>
    <xf numFmtId="2" fontId="62" fillId="3" borderId="4">
      <alignment horizontal="left"/>
    </xf>
    <xf numFmtId="0" fontId="63" fillId="17" borderId="0" applyNumberFormat="0" applyFont="0" applyBorder="0" applyAlignment="0" applyProtection="0"/>
    <xf numFmtId="0" fontId="64" fillId="17" borderId="0" applyNumberFormat="0" applyFont="0" applyBorder="0" applyAlignment="0" applyProtection="0"/>
    <xf numFmtId="0" fontId="64" fillId="18" borderId="0" applyNumberFormat="0" applyFont="0" applyBorder="0" applyAlignment="0" applyProtection="0"/>
    <xf numFmtId="0" fontId="64" fillId="19" borderId="0" applyNumberFormat="0" applyFont="0" applyBorder="0" applyAlignment="0" applyProtection="0">
      <alignment horizontal="center"/>
    </xf>
    <xf numFmtId="0" fontId="64" fillId="20" borderId="12" applyNumberFormat="0" applyFont="0" applyBorder="0" applyAlignment="0" applyProtection="0"/>
    <xf numFmtId="0" fontId="64" fillId="21" borderId="12" applyNumberFormat="0" applyFont="0" applyBorder="0" applyAlignment="0"/>
    <xf numFmtId="0" fontId="64" fillId="22" borderId="12" applyNumberFormat="0" applyFont="0" applyBorder="0" applyAlignment="0"/>
    <xf numFmtId="0" fontId="32" fillId="23" borderId="0" applyNumberFormat="0" applyFont="0" applyBorder="0" applyAlignment="0" applyProtection="0">
      <alignment horizontal="center"/>
      <protection hidden="1"/>
    </xf>
    <xf numFmtId="189" fontId="43" fillId="16" borderId="13" applyNumberFormat="0" applyFont="0" applyBorder="0" applyAlignment="0" applyProtection="0">
      <protection hidden="1"/>
    </xf>
    <xf numFmtId="1" fontId="65" fillId="0" borderId="0" applyProtection="0">
      <alignment horizontal="right" vertical="center"/>
    </xf>
    <xf numFmtId="0" fontId="13" fillId="24" borderId="0" applyNumberFormat="0" applyFont="0" applyBorder="0" applyAlignment="0" applyProtection="0">
      <protection hidden="1"/>
    </xf>
    <xf numFmtId="0" fontId="13" fillId="25" borderId="0" applyNumberFormat="0" applyFont="0" applyBorder="0" applyAlignment="0" applyProtection="0">
      <protection hidden="1"/>
    </xf>
    <xf numFmtId="0" fontId="13" fillId="26" borderId="0" applyNumberFormat="0" applyFont="0" applyBorder="0" applyAlignment="0" applyProtection="0">
      <protection hidden="1"/>
    </xf>
    <xf numFmtId="0" fontId="13" fillId="27" borderId="0" applyNumberFormat="0" applyFont="0" applyBorder="0" applyAlignment="0" applyProtection="0">
      <protection hidden="1"/>
    </xf>
    <xf numFmtId="0" fontId="13" fillId="28" borderId="0" applyNumberFormat="0" applyFont="0" applyBorder="0" applyAlignment="0" applyProtection="0">
      <protection hidden="1"/>
    </xf>
    <xf numFmtId="0" fontId="13" fillId="29" borderId="0" applyNumberFormat="0" applyFont="0" applyBorder="0" applyAlignment="0" applyProtection="0">
      <protection hidden="1"/>
    </xf>
    <xf numFmtId="0" fontId="66" fillId="0" borderId="14" applyNumberFormat="0" applyAlignment="0" applyProtection="0"/>
    <xf numFmtId="0" fontId="67" fillId="30" borderId="0" applyNumberFormat="0" applyFont="0" applyBorder="0" applyAlignment="0" applyProtection="0"/>
    <xf numFmtId="0" fontId="32" fillId="31" borderId="15" applyNumberFormat="0" applyFont="0" applyBorder="0" applyAlignment="0" applyProtection="0">
      <alignment horizontal="center"/>
    </xf>
    <xf numFmtId="0" fontId="32" fillId="32" borderId="15" applyNumberFormat="0" applyFont="0" applyBorder="0" applyAlignment="0" applyProtection="0">
      <alignment horizontal="center"/>
    </xf>
    <xf numFmtId="0" fontId="67" fillId="0" borderId="16" applyNumberFormat="0" applyAlignment="0" applyProtection="0"/>
    <xf numFmtId="0" fontId="67" fillId="0" borderId="17" applyNumberFormat="0" applyAlignment="0" applyProtection="0"/>
    <xf numFmtId="0" fontId="66" fillId="0" borderId="18" applyNumberFormat="0" applyAlignment="0" applyProtection="0"/>
    <xf numFmtId="9" fontId="67" fillId="0" borderId="0" applyFont="0" applyFill="0" applyBorder="0" applyAlignment="0" applyProtection="0"/>
    <xf numFmtId="10" fontId="67" fillId="0" borderId="0" applyFont="0" applyFill="0" applyBorder="0" applyAlignment="0" applyProtection="0"/>
    <xf numFmtId="10" fontId="29" fillId="0" borderId="0" applyFont="0" applyFill="0" applyBorder="0" applyAlignment="0" applyProtection="0"/>
    <xf numFmtId="0" fontId="44" fillId="0" borderId="0">
      <protection locked="0"/>
    </xf>
    <xf numFmtId="0" fontId="68" fillId="0" borderId="13" applyNumberFormat="0" applyBorder="0" applyAlignment="0" applyProtection="0">
      <protection locked="0"/>
    </xf>
    <xf numFmtId="0" fontId="63" fillId="0" borderId="19" applyNumberFormat="0" applyFont="0" applyBorder="0" applyAlignment="0" applyProtection="0"/>
    <xf numFmtId="0" fontId="69" fillId="0" borderId="0" applyNumberFormat="0" applyFill="0" applyBorder="0" applyAlignment="0" applyProtection="0">
      <alignment horizontal="left"/>
    </xf>
    <xf numFmtId="38" fontId="69" fillId="0" borderId="0"/>
    <xf numFmtId="0" fontId="70" fillId="32" borderId="20" applyNumberFormat="0" applyFont="0" applyFill="0" applyBorder="0" applyAlignment="0"/>
    <xf numFmtId="178" fontId="71" fillId="33" borderId="0" applyNumberFormat="0" applyAlignment="0">
      <alignment horizontal="center"/>
      <protection hidden="1"/>
    </xf>
    <xf numFmtId="0" fontId="55" fillId="34" borderId="0" applyNumberFormat="0" applyBorder="0" applyAlignment="0" applyProtection="0"/>
    <xf numFmtId="0" fontId="29" fillId="0" borderId="0" applyNumberFormat="0" applyFont="0" applyFill="0" applyBorder="0" applyAlignment="0" applyProtection="0"/>
    <xf numFmtId="0" fontId="55" fillId="34" borderId="0" applyNumberFormat="0" applyBorder="0" applyAlignment="0" applyProtection="0"/>
    <xf numFmtId="0" fontId="13" fillId="14" borderId="0" applyNumberFormat="0" applyAlignment="0" applyProtection="0"/>
    <xf numFmtId="3" fontId="13" fillId="0" borderId="0" applyNumberFormat="0" applyFont="0" applyFill="0" applyBorder="0" applyAlignment="0" applyProtection="0"/>
    <xf numFmtId="0" fontId="55" fillId="34" borderId="0" applyNumberFormat="0" applyBorder="0" applyAlignment="0" applyProtection="0"/>
    <xf numFmtId="0" fontId="13" fillId="14" borderId="0" applyNumberFormat="0" applyBorder="0" applyAlignment="0" applyProtection="0"/>
    <xf numFmtId="3" fontId="13" fillId="0" borderId="0" applyNumberFormat="0" applyFont="0" applyFill="0" applyBorder="0" applyAlignment="0" applyProtection="0"/>
    <xf numFmtId="0" fontId="13" fillId="7" borderId="0" applyNumberFormat="0" applyBorder="0" applyAlignment="0" applyProtection="0"/>
    <xf numFmtId="0" fontId="55" fillId="7" borderId="0" applyNumberFormat="0" applyBorder="0" applyAlignment="0" applyProtection="0"/>
    <xf numFmtId="3" fontId="13" fillId="0" borderId="0" applyNumberFormat="0" applyFont="0" applyFill="0" applyBorder="0" applyAlignment="0" applyProtection="0"/>
    <xf numFmtId="3" fontId="55" fillId="35" borderId="0" applyNumberFormat="0" applyBorder="0" applyAlignment="0" applyProtection="0"/>
    <xf numFmtId="3" fontId="55" fillId="35" borderId="0" applyNumberFormat="0" applyBorder="0" applyAlignment="0" applyProtection="0"/>
    <xf numFmtId="3" fontId="13" fillId="0" borderId="0" applyNumberFormat="0" applyFont="0" applyFill="0" applyBorder="0" applyAlignment="0" applyProtection="0"/>
    <xf numFmtId="3" fontId="55" fillId="36" borderId="0" applyNumberFormat="0" applyBorder="0" applyAlignment="0" applyProtection="0"/>
    <xf numFmtId="3" fontId="55" fillId="36" borderId="0" applyNumberFormat="0" applyBorder="0" applyAlignment="0" applyProtection="0"/>
    <xf numFmtId="0" fontId="29" fillId="0" borderId="0" applyFont="0" applyFill="0" applyBorder="0" applyAlignment="0" applyProtection="0"/>
    <xf numFmtId="3" fontId="29" fillId="5" borderId="0" applyFont="0" applyBorder="0" applyAlignment="0" applyProtection="0"/>
    <xf numFmtId="0" fontId="29" fillId="36" borderId="0" applyNumberFormat="0" applyFont="0" applyBorder="0" applyAlignment="0" applyProtection="0"/>
    <xf numFmtId="4" fontId="29" fillId="5" borderId="0" applyFont="0" applyBorder="0" applyAlignment="0" applyProtection="0"/>
    <xf numFmtId="0" fontId="13" fillId="30" borderId="0" applyNumberFormat="0" applyBorder="0" applyAlignment="0">
      <protection locked="0"/>
    </xf>
    <xf numFmtId="0" fontId="72" fillId="0" borderId="0"/>
    <xf numFmtId="40" fontId="73" fillId="0" borderId="0" applyBorder="0">
      <alignment horizontal="right"/>
    </xf>
    <xf numFmtId="178" fontId="74" fillId="37" borderId="0" applyNumberFormat="0" applyAlignment="0" applyProtection="0">
      <alignment horizontal="center"/>
      <protection locked="0"/>
    </xf>
    <xf numFmtId="0" fontId="75" fillId="0" borderId="0" applyBorder="0" applyProtection="0">
      <alignment vertical="center"/>
    </xf>
    <xf numFmtId="0" fontId="75" fillId="0" borderId="21" applyBorder="0" applyProtection="0">
      <alignment horizontal="right" vertical="center"/>
    </xf>
    <xf numFmtId="0" fontId="76" fillId="38" borderId="0" applyBorder="0" applyProtection="0">
      <alignment horizontal="centerContinuous" vertical="center"/>
    </xf>
    <xf numFmtId="0" fontId="76" fillId="39" borderId="21" applyBorder="0" applyProtection="0">
      <alignment horizontal="centerContinuous" vertical="center"/>
    </xf>
    <xf numFmtId="0" fontId="43" fillId="0" borderId="0" applyBorder="0" applyProtection="0">
      <alignment horizontal="left"/>
    </xf>
    <xf numFmtId="0" fontId="77" fillId="0" borderId="0" applyFill="0" applyBorder="0" applyProtection="0">
      <alignment horizontal="left"/>
    </xf>
    <xf numFmtId="0" fontId="32" fillId="0" borderId="13" applyFill="0" applyBorder="0" applyProtection="0">
      <alignment horizontal="left" vertical="top"/>
    </xf>
    <xf numFmtId="0" fontId="78" fillId="5" borderId="0" applyNumberFormat="0" applyFont="0" applyBorder="0" applyAlignment="0" applyProtection="0">
      <alignment horizontal="left"/>
    </xf>
    <xf numFmtId="0" fontId="13" fillId="40" borderId="22" applyNumberFormat="0" applyFont="0" applyBorder="0" applyAlignment="0" applyProtection="0">
      <alignment horizontal="left"/>
    </xf>
    <xf numFmtId="0" fontId="13" fillId="41" borderId="0" applyNumberFormat="0" applyBorder="0" applyAlignment="0">
      <protection locked="0"/>
    </xf>
    <xf numFmtId="0" fontId="13" fillId="5" borderId="0" applyNumberFormat="0" applyFont="0" applyFill="0" applyBorder="0" applyProtection="0">
      <alignment horizontal="center" textRotation="90" wrapText="1"/>
    </xf>
    <xf numFmtId="0" fontId="56" fillId="42" borderId="4" applyNumberFormat="0" applyFont="0" applyBorder="0" applyAlignment="0">
      <protection locked="0"/>
    </xf>
    <xf numFmtId="0" fontId="79" fillId="43" borderId="10" applyNumberFormat="0" applyFont="0" applyBorder="0" applyAlignment="0" applyProtection="0">
      <alignment horizontal="centerContinuous"/>
      <protection hidden="1"/>
    </xf>
    <xf numFmtId="0" fontId="32" fillId="44" borderId="0" applyNumberFormat="0" applyFont="0" applyBorder="0" applyAlignment="0" applyProtection="0"/>
    <xf numFmtId="9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43" fontId="13" fillId="0" borderId="0" applyFont="0" applyFill="0" applyBorder="0" applyAlignment="0" applyProtection="0"/>
    <xf numFmtId="0" fontId="13" fillId="0" borderId="0"/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vertical="top"/>
    </xf>
    <xf numFmtId="0" fontId="13" fillId="0" borderId="0">
      <alignment vertical="top"/>
    </xf>
    <xf numFmtId="5" fontId="35" fillId="0" borderId="5" applyAlignment="0" applyProtection="0"/>
    <xf numFmtId="5" fontId="35" fillId="0" borderId="5" applyAlignment="0" applyProtection="0"/>
    <xf numFmtId="177" fontId="13" fillId="0" borderId="0" applyFill="0" applyBorder="0" applyAlignment="0"/>
    <xf numFmtId="177" fontId="13" fillId="0" borderId="0" applyFill="0" applyBorder="0" applyAlignment="0"/>
    <xf numFmtId="0" fontId="41" fillId="0" borderId="0" applyNumberFormat="0" applyAlignment="0">
      <alignment horizontal="left"/>
    </xf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44" fillId="0" borderId="0">
      <protection locked="0"/>
    </xf>
    <xf numFmtId="0" fontId="45" fillId="0" borderId="0">
      <protection locked="0"/>
    </xf>
    <xf numFmtId="0" fontId="45" fillId="0" borderId="0">
      <protection locked="0"/>
    </xf>
    <xf numFmtId="0" fontId="46" fillId="0" borderId="0" applyNumberFormat="0" applyAlignment="0">
      <alignment horizontal="left"/>
    </xf>
    <xf numFmtId="191" fontId="13" fillId="0" borderId="0" applyFont="0" applyFill="0" applyBorder="0" applyAlignment="0" applyProtection="0"/>
    <xf numFmtId="191" fontId="13" fillId="0" borderId="0" applyFont="0" applyFill="0" applyBorder="0" applyAlignment="0" applyProtection="0"/>
    <xf numFmtId="0" fontId="44" fillId="0" borderId="0">
      <protection locked="0"/>
    </xf>
    <xf numFmtId="0" fontId="44" fillId="0" borderId="0">
      <protection locked="0"/>
    </xf>
    <xf numFmtId="0" fontId="44" fillId="0" borderId="0">
      <protection locked="0"/>
    </xf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37" fontId="61" fillId="0" borderId="0"/>
    <xf numFmtId="188" fontId="13" fillId="0" borderId="0"/>
    <xf numFmtId="188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10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44" fillId="0" borderId="0">
      <protection locked="0"/>
    </xf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3" fontId="13" fillId="5" borderId="0" applyFont="0" applyBorder="0" applyAlignment="0" applyProtection="0"/>
    <xf numFmtId="3" fontId="13" fillId="5" borderId="0" applyFont="0" applyBorder="0" applyAlignment="0" applyProtection="0"/>
    <xf numFmtId="0" fontId="13" fillId="36" borderId="0" applyNumberFormat="0" applyFont="0" applyBorder="0" applyAlignment="0" applyProtection="0"/>
    <xf numFmtId="0" fontId="13" fillId="36" borderId="0" applyNumberFormat="0" applyFont="0" applyBorder="0" applyAlignment="0" applyProtection="0"/>
    <xf numFmtId="4" fontId="13" fillId="5" borderId="0" applyFont="0" applyBorder="0" applyAlignment="0" applyProtection="0"/>
    <xf numFmtId="4" fontId="13" fillId="5" borderId="0" applyFont="0" applyBorder="0" applyAlignment="0" applyProtection="0"/>
    <xf numFmtId="0" fontId="13" fillId="0" borderId="0">
      <alignment horizontal="left" wrapText="1"/>
    </xf>
    <xf numFmtId="0" fontId="13" fillId="0" borderId="0">
      <alignment horizontal="left" wrapText="1"/>
    </xf>
    <xf numFmtId="0" fontId="81" fillId="45" borderId="0" applyNumberFormat="0" applyBorder="0" applyAlignment="0" applyProtection="0"/>
    <xf numFmtId="0" fontId="81" fillId="45" borderId="0" applyNumberFormat="0" applyBorder="0" applyAlignment="0" applyProtection="0"/>
    <xf numFmtId="0" fontId="81" fillId="45" borderId="0" applyNumberFormat="0" applyBorder="0" applyAlignment="0" applyProtection="0"/>
    <xf numFmtId="0" fontId="81" fillId="45" borderId="0" applyNumberFormat="0" applyBorder="0" applyAlignment="0" applyProtection="0"/>
    <xf numFmtId="0" fontId="81" fillId="45" borderId="0" applyNumberFormat="0" applyBorder="0" applyAlignment="0" applyProtection="0"/>
    <xf numFmtId="0" fontId="81" fillId="45" borderId="0" applyNumberFormat="0" applyBorder="0" applyAlignment="0" applyProtection="0"/>
    <xf numFmtId="0" fontId="82" fillId="45" borderId="0" applyNumberFormat="0" applyBorder="0" applyAlignment="0" applyProtection="0"/>
    <xf numFmtId="0" fontId="81" fillId="46" borderId="0" applyNumberFormat="0" applyBorder="0" applyAlignment="0" applyProtection="0"/>
    <xf numFmtId="0" fontId="81" fillId="46" borderId="0" applyNumberFormat="0" applyBorder="0" applyAlignment="0" applyProtection="0"/>
    <xf numFmtId="0" fontId="81" fillId="46" borderId="0" applyNumberFormat="0" applyBorder="0" applyAlignment="0" applyProtection="0"/>
    <xf numFmtId="0" fontId="81" fillId="46" borderId="0" applyNumberFormat="0" applyBorder="0" applyAlignment="0" applyProtection="0"/>
    <xf numFmtId="0" fontId="81" fillId="46" borderId="0" applyNumberFormat="0" applyBorder="0" applyAlignment="0" applyProtection="0"/>
    <xf numFmtId="0" fontId="81" fillId="46" borderId="0" applyNumberFormat="0" applyBorder="0" applyAlignment="0" applyProtection="0"/>
    <xf numFmtId="0" fontId="82" fillId="46" borderId="0" applyNumberFormat="0" applyBorder="0" applyAlignment="0" applyProtection="0"/>
    <xf numFmtId="0" fontId="81" fillId="47" borderId="0" applyNumberFormat="0" applyBorder="0" applyAlignment="0" applyProtection="0"/>
    <xf numFmtId="0" fontId="81" fillId="47" borderId="0" applyNumberFormat="0" applyBorder="0" applyAlignment="0" applyProtection="0"/>
    <xf numFmtId="0" fontId="81" fillId="47" borderId="0" applyNumberFormat="0" applyBorder="0" applyAlignment="0" applyProtection="0"/>
    <xf numFmtId="0" fontId="81" fillId="47" borderId="0" applyNumberFormat="0" applyBorder="0" applyAlignment="0" applyProtection="0"/>
    <xf numFmtId="0" fontId="81" fillId="47" borderId="0" applyNumberFormat="0" applyBorder="0" applyAlignment="0" applyProtection="0"/>
    <xf numFmtId="0" fontId="81" fillId="47" borderId="0" applyNumberFormat="0" applyBorder="0" applyAlignment="0" applyProtection="0"/>
    <xf numFmtId="0" fontId="82" fillId="47" borderId="0" applyNumberFormat="0" applyBorder="0" applyAlignment="0" applyProtection="0"/>
    <xf numFmtId="0" fontId="81" fillId="48" borderId="0" applyNumberFormat="0" applyBorder="0" applyAlignment="0" applyProtection="0"/>
    <xf numFmtId="0" fontId="81" fillId="48" borderId="0" applyNumberFormat="0" applyBorder="0" applyAlignment="0" applyProtection="0"/>
    <xf numFmtId="0" fontId="81" fillId="48" borderId="0" applyNumberFormat="0" applyBorder="0" applyAlignment="0" applyProtection="0"/>
    <xf numFmtId="0" fontId="81" fillId="48" borderId="0" applyNumberFormat="0" applyBorder="0" applyAlignment="0" applyProtection="0"/>
    <xf numFmtId="0" fontId="81" fillId="48" borderId="0" applyNumberFormat="0" applyBorder="0" applyAlignment="0" applyProtection="0"/>
    <xf numFmtId="0" fontId="81" fillId="48" borderId="0" applyNumberFormat="0" applyBorder="0" applyAlignment="0" applyProtection="0"/>
    <xf numFmtId="0" fontId="82" fillId="48" borderId="0" applyNumberFormat="0" applyBorder="0" applyAlignment="0" applyProtection="0"/>
    <xf numFmtId="0" fontId="81" fillId="49" borderId="0" applyNumberFormat="0" applyBorder="0" applyAlignment="0" applyProtection="0"/>
    <xf numFmtId="0" fontId="81" fillId="49" borderId="0" applyNumberFormat="0" applyBorder="0" applyAlignment="0" applyProtection="0"/>
    <xf numFmtId="0" fontId="81" fillId="49" borderId="0" applyNumberFormat="0" applyBorder="0" applyAlignment="0" applyProtection="0"/>
    <xf numFmtId="0" fontId="81" fillId="49" borderId="0" applyNumberFormat="0" applyBorder="0" applyAlignment="0" applyProtection="0"/>
    <xf numFmtId="0" fontId="81" fillId="49" borderId="0" applyNumberFormat="0" applyBorder="0" applyAlignment="0" applyProtection="0"/>
    <xf numFmtId="0" fontId="81" fillId="49" borderId="0" applyNumberFormat="0" applyBorder="0" applyAlignment="0" applyProtection="0"/>
    <xf numFmtId="0" fontId="82" fillId="49" borderId="0" applyNumberFormat="0" applyBorder="0" applyAlignment="0" applyProtection="0"/>
    <xf numFmtId="0" fontId="81" fillId="50" borderId="0" applyNumberFormat="0" applyBorder="0" applyAlignment="0" applyProtection="0"/>
    <xf numFmtId="0" fontId="81" fillId="50" borderId="0" applyNumberFormat="0" applyBorder="0" applyAlignment="0" applyProtection="0"/>
    <xf numFmtId="0" fontId="81" fillId="50" borderId="0" applyNumberFormat="0" applyBorder="0" applyAlignment="0" applyProtection="0"/>
    <xf numFmtId="0" fontId="81" fillId="50" borderId="0" applyNumberFormat="0" applyBorder="0" applyAlignment="0" applyProtection="0"/>
    <xf numFmtId="0" fontId="81" fillId="50" borderId="0" applyNumberFormat="0" applyBorder="0" applyAlignment="0" applyProtection="0"/>
    <xf numFmtId="0" fontId="81" fillId="50" borderId="0" applyNumberFormat="0" applyBorder="0" applyAlignment="0" applyProtection="0"/>
    <xf numFmtId="0" fontId="82" fillId="50" borderId="0" applyNumberFormat="0" applyBorder="0" applyAlignment="0" applyProtection="0"/>
    <xf numFmtId="0" fontId="81" fillId="51" borderId="0" applyNumberFormat="0" applyBorder="0" applyAlignment="0" applyProtection="0"/>
    <xf numFmtId="0" fontId="81" fillId="51" borderId="0" applyNumberFormat="0" applyBorder="0" applyAlignment="0" applyProtection="0"/>
    <xf numFmtId="0" fontId="81" fillId="51" borderId="0" applyNumberFormat="0" applyBorder="0" applyAlignment="0" applyProtection="0"/>
    <xf numFmtId="0" fontId="81" fillId="51" borderId="0" applyNumberFormat="0" applyBorder="0" applyAlignment="0" applyProtection="0"/>
    <xf numFmtId="0" fontId="81" fillId="51" borderId="0" applyNumberFormat="0" applyBorder="0" applyAlignment="0" applyProtection="0"/>
    <xf numFmtId="0" fontId="81" fillId="51" borderId="0" applyNumberFormat="0" applyBorder="0" applyAlignment="0" applyProtection="0"/>
    <xf numFmtId="0" fontId="82" fillId="51" borderId="0" applyNumberFormat="0" applyBorder="0" applyAlignment="0" applyProtection="0"/>
    <xf numFmtId="0" fontId="81" fillId="52" borderId="0" applyNumberFormat="0" applyBorder="0" applyAlignment="0" applyProtection="0"/>
    <xf numFmtId="0" fontId="81" fillId="52" borderId="0" applyNumberFormat="0" applyBorder="0" applyAlignment="0" applyProtection="0"/>
    <xf numFmtId="0" fontId="81" fillId="52" borderId="0" applyNumberFormat="0" applyBorder="0" applyAlignment="0" applyProtection="0"/>
    <xf numFmtId="0" fontId="81" fillId="52" borderId="0" applyNumberFormat="0" applyBorder="0" applyAlignment="0" applyProtection="0"/>
    <xf numFmtId="0" fontId="81" fillId="52" borderId="0" applyNumberFormat="0" applyBorder="0" applyAlignment="0" applyProtection="0"/>
    <xf numFmtId="0" fontId="81" fillId="52" borderId="0" applyNumberFormat="0" applyBorder="0" applyAlignment="0" applyProtection="0"/>
    <xf numFmtId="0" fontId="82" fillId="52" borderId="0" applyNumberFormat="0" applyBorder="0" applyAlignment="0" applyProtection="0"/>
    <xf numFmtId="0" fontId="81" fillId="53" borderId="0" applyNumberFormat="0" applyBorder="0" applyAlignment="0" applyProtection="0"/>
    <xf numFmtId="0" fontId="81" fillId="53" borderId="0" applyNumberFormat="0" applyBorder="0" applyAlignment="0" applyProtection="0"/>
    <xf numFmtId="0" fontId="81" fillId="53" borderId="0" applyNumberFormat="0" applyBorder="0" applyAlignment="0" applyProtection="0"/>
    <xf numFmtId="0" fontId="81" fillId="53" borderId="0" applyNumberFormat="0" applyBorder="0" applyAlignment="0" applyProtection="0"/>
    <xf numFmtId="0" fontId="81" fillId="53" borderId="0" applyNumberFormat="0" applyBorder="0" applyAlignment="0" applyProtection="0"/>
    <xf numFmtId="0" fontId="81" fillId="53" borderId="0" applyNumberFormat="0" applyBorder="0" applyAlignment="0" applyProtection="0"/>
    <xf numFmtId="0" fontId="82" fillId="53" borderId="0" applyNumberFormat="0" applyBorder="0" applyAlignment="0" applyProtection="0"/>
    <xf numFmtId="0" fontId="81" fillId="48" borderId="0" applyNumberFormat="0" applyBorder="0" applyAlignment="0" applyProtection="0"/>
    <xf numFmtId="0" fontId="81" fillId="48" borderId="0" applyNumberFormat="0" applyBorder="0" applyAlignment="0" applyProtection="0"/>
    <xf numFmtId="0" fontId="81" fillId="48" borderId="0" applyNumberFormat="0" applyBorder="0" applyAlignment="0" applyProtection="0"/>
    <xf numFmtId="0" fontId="81" fillId="48" borderId="0" applyNumberFormat="0" applyBorder="0" applyAlignment="0" applyProtection="0"/>
    <xf numFmtId="0" fontId="81" fillId="48" borderId="0" applyNumberFormat="0" applyBorder="0" applyAlignment="0" applyProtection="0"/>
    <xf numFmtId="0" fontId="81" fillId="48" borderId="0" applyNumberFormat="0" applyBorder="0" applyAlignment="0" applyProtection="0"/>
    <xf numFmtId="0" fontId="82" fillId="48" borderId="0" applyNumberFormat="0" applyBorder="0" applyAlignment="0" applyProtection="0"/>
    <xf numFmtId="0" fontId="81" fillId="51" borderId="0" applyNumberFormat="0" applyBorder="0" applyAlignment="0" applyProtection="0"/>
    <xf numFmtId="0" fontId="81" fillId="51" borderId="0" applyNumberFormat="0" applyBorder="0" applyAlignment="0" applyProtection="0"/>
    <xf numFmtId="0" fontId="81" fillId="51" borderId="0" applyNumberFormat="0" applyBorder="0" applyAlignment="0" applyProtection="0"/>
    <xf numFmtId="0" fontId="81" fillId="51" borderId="0" applyNumberFormat="0" applyBorder="0" applyAlignment="0" applyProtection="0"/>
    <xf numFmtId="0" fontId="81" fillId="51" borderId="0" applyNumberFormat="0" applyBorder="0" applyAlignment="0" applyProtection="0"/>
    <xf numFmtId="0" fontId="81" fillId="51" borderId="0" applyNumberFormat="0" applyBorder="0" applyAlignment="0" applyProtection="0"/>
    <xf numFmtId="0" fontId="82" fillId="51" borderId="0" applyNumberFormat="0" applyBorder="0" applyAlignment="0" applyProtection="0"/>
    <xf numFmtId="0" fontId="81" fillId="54" borderId="0" applyNumberFormat="0" applyBorder="0" applyAlignment="0" applyProtection="0"/>
    <xf numFmtId="0" fontId="81" fillId="54" borderId="0" applyNumberFormat="0" applyBorder="0" applyAlignment="0" applyProtection="0"/>
    <xf numFmtId="0" fontId="81" fillId="54" borderId="0" applyNumberFormat="0" applyBorder="0" applyAlignment="0" applyProtection="0"/>
    <xf numFmtId="0" fontId="81" fillId="54" borderId="0" applyNumberFormat="0" applyBorder="0" applyAlignment="0" applyProtection="0"/>
    <xf numFmtId="0" fontId="81" fillId="54" borderId="0" applyNumberFormat="0" applyBorder="0" applyAlignment="0" applyProtection="0"/>
    <xf numFmtId="0" fontId="81" fillId="54" borderId="0" applyNumberFormat="0" applyBorder="0" applyAlignment="0" applyProtection="0"/>
    <xf numFmtId="0" fontId="82" fillId="54" borderId="0" applyNumberFormat="0" applyBorder="0" applyAlignment="0" applyProtection="0"/>
    <xf numFmtId="0" fontId="83" fillId="55" borderId="0" applyNumberFormat="0" applyBorder="0" applyAlignment="0" applyProtection="0"/>
    <xf numFmtId="0" fontId="83" fillId="55" borderId="0" applyNumberFormat="0" applyBorder="0" applyAlignment="0" applyProtection="0"/>
    <xf numFmtId="0" fontId="83" fillId="55" borderId="0" applyNumberFormat="0" applyBorder="0" applyAlignment="0" applyProtection="0"/>
    <xf numFmtId="0" fontId="83" fillId="55" borderId="0" applyNumberFormat="0" applyBorder="0" applyAlignment="0" applyProtection="0"/>
    <xf numFmtId="0" fontId="83" fillId="55" borderId="0" applyNumberFormat="0" applyBorder="0" applyAlignment="0" applyProtection="0"/>
    <xf numFmtId="0" fontId="83" fillId="55" borderId="0" applyNumberFormat="0" applyBorder="0" applyAlignment="0" applyProtection="0"/>
    <xf numFmtId="0" fontId="84" fillId="55" borderId="0" applyNumberFormat="0" applyBorder="0" applyAlignment="0" applyProtection="0"/>
    <xf numFmtId="0" fontId="83" fillId="52" borderId="0" applyNumberFormat="0" applyBorder="0" applyAlignment="0" applyProtection="0"/>
    <xf numFmtId="0" fontId="83" fillId="52" borderId="0" applyNumberFormat="0" applyBorder="0" applyAlignment="0" applyProtection="0"/>
    <xf numFmtId="0" fontId="83" fillId="52" borderId="0" applyNumberFormat="0" applyBorder="0" applyAlignment="0" applyProtection="0"/>
    <xf numFmtId="0" fontId="83" fillId="52" borderId="0" applyNumberFormat="0" applyBorder="0" applyAlignment="0" applyProtection="0"/>
    <xf numFmtId="0" fontId="83" fillId="52" borderId="0" applyNumberFormat="0" applyBorder="0" applyAlignment="0" applyProtection="0"/>
    <xf numFmtId="0" fontId="83" fillId="52" borderId="0" applyNumberFormat="0" applyBorder="0" applyAlignment="0" applyProtection="0"/>
    <xf numFmtId="0" fontId="84" fillId="52" borderId="0" applyNumberFormat="0" applyBorder="0" applyAlignment="0" applyProtection="0"/>
    <xf numFmtId="0" fontId="83" fillId="53" borderId="0" applyNumberFormat="0" applyBorder="0" applyAlignment="0" applyProtection="0"/>
    <xf numFmtId="0" fontId="83" fillId="53" borderId="0" applyNumberFormat="0" applyBorder="0" applyAlignment="0" applyProtection="0"/>
    <xf numFmtId="0" fontId="83" fillId="53" borderId="0" applyNumberFormat="0" applyBorder="0" applyAlignment="0" applyProtection="0"/>
    <xf numFmtId="0" fontId="83" fillId="53" borderId="0" applyNumberFormat="0" applyBorder="0" applyAlignment="0" applyProtection="0"/>
    <xf numFmtId="0" fontId="83" fillId="53" borderId="0" applyNumberFormat="0" applyBorder="0" applyAlignment="0" applyProtection="0"/>
    <xf numFmtId="0" fontId="83" fillId="53" borderId="0" applyNumberFormat="0" applyBorder="0" applyAlignment="0" applyProtection="0"/>
    <xf numFmtId="0" fontId="84" fillId="53" borderId="0" applyNumberFormat="0" applyBorder="0" applyAlignment="0" applyProtection="0"/>
    <xf numFmtId="0" fontId="83" fillId="56" borderId="0" applyNumberFormat="0" applyBorder="0" applyAlignment="0" applyProtection="0"/>
    <xf numFmtId="0" fontId="83" fillId="56" borderId="0" applyNumberFormat="0" applyBorder="0" applyAlignment="0" applyProtection="0"/>
    <xf numFmtId="0" fontId="83" fillId="56" borderId="0" applyNumberFormat="0" applyBorder="0" applyAlignment="0" applyProtection="0"/>
    <xf numFmtId="0" fontId="83" fillId="56" borderId="0" applyNumberFormat="0" applyBorder="0" applyAlignment="0" applyProtection="0"/>
    <xf numFmtId="0" fontId="83" fillId="56" borderId="0" applyNumberFormat="0" applyBorder="0" applyAlignment="0" applyProtection="0"/>
    <xf numFmtId="0" fontId="83" fillId="56" borderId="0" applyNumberFormat="0" applyBorder="0" applyAlignment="0" applyProtection="0"/>
    <xf numFmtId="0" fontId="84" fillId="56" borderId="0" applyNumberFormat="0" applyBorder="0" applyAlignment="0" applyProtection="0"/>
    <xf numFmtId="0" fontId="83" fillId="57" borderId="0" applyNumberFormat="0" applyBorder="0" applyAlignment="0" applyProtection="0"/>
    <xf numFmtId="0" fontId="83" fillId="57" borderId="0" applyNumberFormat="0" applyBorder="0" applyAlignment="0" applyProtection="0"/>
    <xf numFmtId="0" fontId="83" fillId="57" borderId="0" applyNumberFormat="0" applyBorder="0" applyAlignment="0" applyProtection="0"/>
    <xf numFmtId="0" fontId="83" fillId="57" borderId="0" applyNumberFormat="0" applyBorder="0" applyAlignment="0" applyProtection="0"/>
    <xf numFmtId="0" fontId="83" fillId="57" borderId="0" applyNumberFormat="0" applyBorder="0" applyAlignment="0" applyProtection="0"/>
    <xf numFmtId="0" fontId="83" fillId="57" borderId="0" applyNumberFormat="0" applyBorder="0" applyAlignment="0" applyProtection="0"/>
    <xf numFmtId="0" fontId="84" fillId="57" borderId="0" applyNumberFormat="0" applyBorder="0" applyAlignment="0" applyProtection="0"/>
    <xf numFmtId="0" fontId="83" fillId="58" borderId="0" applyNumberFormat="0" applyBorder="0" applyAlignment="0" applyProtection="0"/>
    <xf numFmtId="0" fontId="83" fillId="58" borderId="0" applyNumberFormat="0" applyBorder="0" applyAlignment="0" applyProtection="0"/>
    <xf numFmtId="0" fontId="83" fillId="58" borderId="0" applyNumberFormat="0" applyBorder="0" applyAlignment="0" applyProtection="0"/>
    <xf numFmtId="0" fontId="83" fillId="58" borderId="0" applyNumberFormat="0" applyBorder="0" applyAlignment="0" applyProtection="0"/>
    <xf numFmtId="0" fontId="83" fillId="58" borderId="0" applyNumberFormat="0" applyBorder="0" applyAlignment="0" applyProtection="0"/>
    <xf numFmtId="0" fontId="83" fillId="58" borderId="0" applyNumberFormat="0" applyBorder="0" applyAlignment="0" applyProtection="0"/>
    <xf numFmtId="0" fontId="84" fillId="58" borderId="0" applyNumberFormat="0" applyBorder="0" applyAlignment="0" applyProtection="0"/>
    <xf numFmtId="0" fontId="83" fillId="59" borderId="0" applyNumberFormat="0" applyBorder="0" applyAlignment="0" applyProtection="0"/>
    <xf numFmtId="0" fontId="83" fillId="59" borderId="0" applyNumberFormat="0" applyBorder="0" applyAlignment="0" applyProtection="0"/>
    <xf numFmtId="0" fontId="83" fillId="59" borderId="0" applyNumberFormat="0" applyBorder="0" applyAlignment="0" applyProtection="0"/>
    <xf numFmtId="0" fontId="83" fillId="59" borderId="0" applyNumberFormat="0" applyBorder="0" applyAlignment="0" applyProtection="0"/>
    <xf numFmtId="0" fontId="83" fillId="59" borderId="0" applyNumberFormat="0" applyBorder="0" applyAlignment="0" applyProtection="0"/>
    <xf numFmtId="0" fontId="83" fillId="59" borderId="0" applyNumberFormat="0" applyBorder="0" applyAlignment="0" applyProtection="0"/>
    <xf numFmtId="0" fontId="84" fillId="59" borderId="0" applyNumberFormat="0" applyBorder="0" applyAlignment="0" applyProtection="0"/>
    <xf numFmtId="0" fontId="83" fillId="60" borderId="0" applyNumberFormat="0" applyBorder="0" applyAlignment="0" applyProtection="0"/>
    <xf numFmtId="0" fontId="83" fillId="60" borderId="0" applyNumberFormat="0" applyBorder="0" applyAlignment="0" applyProtection="0"/>
    <xf numFmtId="0" fontId="83" fillId="60" borderId="0" applyNumberFormat="0" applyBorder="0" applyAlignment="0" applyProtection="0"/>
    <xf numFmtId="0" fontId="83" fillId="60" borderId="0" applyNumberFormat="0" applyBorder="0" applyAlignment="0" applyProtection="0"/>
    <xf numFmtId="0" fontId="83" fillId="60" borderId="0" applyNumberFormat="0" applyBorder="0" applyAlignment="0" applyProtection="0"/>
    <xf numFmtId="0" fontId="83" fillId="60" borderId="0" applyNumberFormat="0" applyBorder="0" applyAlignment="0" applyProtection="0"/>
    <xf numFmtId="0" fontId="84" fillId="60" borderId="0" applyNumberFormat="0" applyBorder="0" applyAlignment="0" applyProtection="0"/>
    <xf numFmtId="0" fontId="83" fillId="61" borderId="0" applyNumberFormat="0" applyBorder="0" applyAlignment="0" applyProtection="0"/>
    <xf numFmtId="0" fontId="83" fillId="61" borderId="0" applyNumberFormat="0" applyBorder="0" applyAlignment="0" applyProtection="0"/>
    <xf numFmtId="0" fontId="83" fillId="61" borderId="0" applyNumberFormat="0" applyBorder="0" applyAlignment="0" applyProtection="0"/>
    <xf numFmtId="0" fontId="83" fillId="61" borderId="0" applyNumberFormat="0" applyBorder="0" applyAlignment="0" applyProtection="0"/>
    <xf numFmtId="0" fontId="83" fillId="61" borderId="0" applyNumberFormat="0" applyBorder="0" applyAlignment="0" applyProtection="0"/>
    <xf numFmtId="0" fontId="83" fillId="61" borderId="0" applyNumberFormat="0" applyBorder="0" applyAlignment="0" applyProtection="0"/>
    <xf numFmtId="0" fontId="84" fillId="61" borderId="0" applyNumberFormat="0" applyBorder="0" applyAlignment="0" applyProtection="0"/>
    <xf numFmtId="0" fontId="83" fillId="56" borderId="0" applyNumberFormat="0" applyBorder="0" applyAlignment="0" applyProtection="0"/>
    <xf numFmtId="0" fontId="83" fillId="56" borderId="0" applyNumberFormat="0" applyBorder="0" applyAlignment="0" applyProtection="0"/>
    <xf numFmtId="0" fontId="83" fillId="56" borderId="0" applyNumberFormat="0" applyBorder="0" applyAlignment="0" applyProtection="0"/>
    <xf numFmtId="0" fontId="83" fillId="56" borderId="0" applyNumberFormat="0" applyBorder="0" applyAlignment="0" applyProtection="0"/>
    <xf numFmtId="0" fontId="83" fillId="56" borderId="0" applyNumberFormat="0" applyBorder="0" applyAlignment="0" applyProtection="0"/>
    <xf numFmtId="0" fontId="83" fillId="56" borderId="0" applyNumberFormat="0" applyBorder="0" applyAlignment="0" applyProtection="0"/>
    <xf numFmtId="0" fontId="84" fillId="56" borderId="0" applyNumberFormat="0" applyBorder="0" applyAlignment="0" applyProtection="0"/>
    <xf numFmtId="0" fontId="83" fillId="57" borderId="0" applyNumberFormat="0" applyBorder="0" applyAlignment="0" applyProtection="0"/>
    <xf numFmtId="0" fontId="83" fillId="57" borderId="0" applyNumberFormat="0" applyBorder="0" applyAlignment="0" applyProtection="0"/>
    <xf numFmtId="0" fontId="83" fillId="57" borderId="0" applyNumberFormat="0" applyBorder="0" applyAlignment="0" applyProtection="0"/>
    <xf numFmtId="0" fontId="83" fillId="57" borderId="0" applyNumberFormat="0" applyBorder="0" applyAlignment="0" applyProtection="0"/>
    <xf numFmtId="0" fontId="83" fillId="57" borderId="0" applyNumberFormat="0" applyBorder="0" applyAlignment="0" applyProtection="0"/>
    <xf numFmtId="0" fontId="83" fillId="57" borderId="0" applyNumberFormat="0" applyBorder="0" applyAlignment="0" applyProtection="0"/>
    <xf numFmtId="0" fontId="84" fillId="57" borderId="0" applyNumberFormat="0" applyBorder="0" applyAlignment="0" applyProtection="0"/>
    <xf numFmtId="0" fontId="83" fillId="62" borderId="0" applyNumberFormat="0" applyBorder="0" applyAlignment="0" applyProtection="0"/>
    <xf numFmtId="0" fontId="83" fillId="62" borderId="0" applyNumberFormat="0" applyBorder="0" applyAlignment="0" applyProtection="0"/>
    <xf numFmtId="0" fontId="83" fillId="62" borderId="0" applyNumberFormat="0" applyBorder="0" applyAlignment="0" applyProtection="0"/>
    <xf numFmtId="0" fontId="83" fillId="62" borderId="0" applyNumberFormat="0" applyBorder="0" applyAlignment="0" applyProtection="0"/>
    <xf numFmtId="0" fontId="83" fillId="62" borderId="0" applyNumberFormat="0" applyBorder="0" applyAlignment="0" applyProtection="0"/>
    <xf numFmtId="0" fontId="83" fillId="62" borderId="0" applyNumberFormat="0" applyBorder="0" applyAlignment="0" applyProtection="0"/>
    <xf numFmtId="0" fontId="84" fillId="62" borderId="0" applyNumberFormat="0" applyBorder="0" applyAlignment="0" applyProtection="0"/>
    <xf numFmtId="0" fontId="85" fillId="46" borderId="0" applyNumberFormat="0" applyBorder="0" applyAlignment="0" applyProtection="0"/>
    <xf numFmtId="0" fontId="85" fillId="46" borderId="0" applyNumberFormat="0" applyBorder="0" applyAlignment="0" applyProtection="0"/>
    <xf numFmtId="0" fontId="85" fillId="46" borderId="0" applyNumberFormat="0" applyBorder="0" applyAlignment="0" applyProtection="0"/>
    <xf numFmtId="0" fontId="85" fillId="46" borderId="0" applyNumberFormat="0" applyBorder="0" applyAlignment="0" applyProtection="0"/>
    <xf numFmtId="0" fontId="85" fillId="46" borderId="0" applyNumberFormat="0" applyBorder="0" applyAlignment="0" applyProtection="0"/>
    <xf numFmtId="0" fontId="85" fillId="46" borderId="0" applyNumberFormat="0" applyBorder="0" applyAlignment="0" applyProtection="0"/>
    <xf numFmtId="0" fontId="86" fillId="46" borderId="0" applyNumberFormat="0" applyBorder="0" applyAlignment="0" applyProtection="0"/>
    <xf numFmtId="0" fontId="87" fillId="63" borderId="23" applyNumberFormat="0" applyAlignment="0" applyProtection="0"/>
    <xf numFmtId="0" fontId="87" fillId="63" borderId="23" applyNumberFormat="0" applyAlignment="0" applyProtection="0"/>
    <xf numFmtId="0" fontId="87" fillId="63" borderId="23" applyNumberFormat="0" applyAlignment="0" applyProtection="0"/>
    <xf numFmtId="0" fontId="87" fillId="63" borderId="23" applyNumberFormat="0" applyAlignment="0" applyProtection="0"/>
    <xf numFmtId="0" fontId="87" fillId="63" borderId="23" applyNumberFormat="0" applyAlignment="0" applyProtection="0"/>
    <xf numFmtId="0" fontId="87" fillId="63" borderId="23" applyNumberFormat="0" applyAlignment="0" applyProtection="0"/>
    <xf numFmtId="0" fontId="88" fillId="63" borderId="23" applyNumberFormat="0" applyAlignment="0" applyProtection="0"/>
    <xf numFmtId="0" fontId="89" fillId="64" borderId="24" applyNumberFormat="0" applyAlignment="0" applyProtection="0"/>
    <xf numFmtId="0" fontId="89" fillId="64" borderId="24" applyNumberFormat="0" applyAlignment="0" applyProtection="0"/>
    <xf numFmtId="0" fontId="89" fillId="64" borderId="24" applyNumberFormat="0" applyAlignment="0" applyProtection="0"/>
    <xf numFmtId="0" fontId="89" fillId="64" borderId="24" applyNumberFormat="0" applyAlignment="0" applyProtection="0"/>
    <xf numFmtId="0" fontId="89" fillId="64" borderId="24" applyNumberFormat="0" applyAlignment="0" applyProtection="0"/>
    <xf numFmtId="0" fontId="89" fillId="64" borderId="24" applyNumberFormat="0" applyAlignment="0" applyProtection="0"/>
    <xf numFmtId="0" fontId="90" fillId="64" borderId="24" applyNumberFormat="0" applyAlignment="0" applyProtection="0"/>
    <xf numFmtId="0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1" fillId="0" borderId="0" applyNumberFormat="0" applyFill="0" applyBorder="0" applyAlignment="0" applyProtection="0"/>
    <xf numFmtId="0" fontId="92" fillId="0" borderId="0" applyNumberFormat="0" applyFill="0" applyBorder="0" applyAlignment="0" applyProtection="0"/>
    <xf numFmtId="0" fontId="93" fillId="47" borderId="0" applyNumberFormat="0" applyBorder="0" applyAlignment="0" applyProtection="0"/>
    <xf numFmtId="0" fontId="93" fillId="47" borderId="0" applyNumberFormat="0" applyBorder="0" applyAlignment="0" applyProtection="0"/>
    <xf numFmtId="0" fontId="93" fillId="47" borderId="0" applyNumberFormat="0" applyBorder="0" applyAlignment="0" applyProtection="0"/>
    <xf numFmtId="0" fontId="93" fillId="47" borderId="0" applyNumberFormat="0" applyBorder="0" applyAlignment="0" applyProtection="0"/>
    <xf numFmtId="0" fontId="93" fillId="47" borderId="0" applyNumberFormat="0" applyBorder="0" applyAlignment="0" applyProtection="0"/>
    <xf numFmtId="0" fontId="93" fillId="47" borderId="0" applyNumberFormat="0" applyBorder="0" applyAlignment="0" applyProtection="0"/>
    <xf numFmtId="0" fontId="94" fillId="47" borderId="0" applyNumberFormat="0" applyBorder="0" applyAlignment="0" applyProtection="0"/>
    <xf numFmtId="0" fontId="95" fillId="0" borderId="25" applyNumberFormat="0" applyFill="0" applyAlignment="0" applyProtection="0"/>
    <xf numFmtId="0" fontId="95" fillId="0" borderId="25" applyNumberFormat="0" applyFill="0" applyAlignment="0" applyProtection="0"/>
    <xf numFmtId="0" fontId="95" fillId="0" borderId="25" applyNumberFormat="0" applyFill="0" applyAlignment="0" applyProtection="0"/>
    <xf numFmtId="0" fontId="95" fillId="0" borderId="25" applyNumberFormat="0" applyFill="0" applyAlignment="0" applyProtection="0"/>
    <xf numFmtId="0" fontId="95" fillId="0" borderId="25" applyNumberFormat="0" applyFill="0" applyAlignment="0" applyProtection="0"/>
    <xf numFmtId="0" fontId="95" fillId="0" borderId="25" applyNumberFormat="0" applyFill="0" applyAlignment="0" applyProtection="0"/>
    <xf numFmtId="0" fontId="96" fillId="0" borderId="25" applyNumberFormat="0" applyFill="0" applyAlignment="0" applyProtection="0"/>
    <xf numFmtId="0" fontId="97" fillId="0" borderId="26" applyNumberFormat="0" applyFill="0" applyAlignment="0" applyProtection="0"/>
    <xf numFmtId="0" fontId="97" fillId="0" borderId="26" applyNumberFormat="0" applyFill="0" applyAlignment="0" applyProtection="0"/>
    <xf numFmtId="0" fontId="97" fillId="0" borderId="26" applyNumberFormat="0" applyFill="0" applyAlignment="0" applyProtection="0"/>
    <xf numFmtId="0" fontId="97" fillId="0" borderId="26" applyNumberFormat="0" applyFill="0" applyAlignment="0" applyProtection="0"/>
    <xf numFmtId="0" fontId="97" fillId="0" borderId="26" applyNumberFormat="0" applyFill="0" applyAlignment="0" applyProtection="0"/>
    <xf numFmtId="0" fontId="97" fillId="0" borderId="26" applyNumberFormat="0" applyFill="0" applyAlignment="0" applyProtection="0"/>
    <xf numFmtId="0" fontId="98" fillId="0" borderId="26" applyNumberFormat="0" applyFill="0" applyAlignment="0" applyProtection="0"/>
    <xf numFmtId="0" fontId="99" fillId="0" borderId="27" applyNumberFormat="0" applyFill="0" applyAlignment="0" applyProtection="0"/>
    <xf numFmtId="0" fontId="99" fillId="0" borderId="27" applyNumberFormat="0" applyFill="0" applyAlignment="0" applyProtection="0"/>
    <xf numFmtId="0" fontId="99" fillId="0" borderId="27" applyNumberFormat="0" applyFill="0" applyAlignment="0" applyProtection="0"/>
    <xf numFmtId="0" fontId="99" fillId="0" borderId="27" applyNumberFormat="0" applyFill="0" applyAlignment="0" applyProtection="0"/>
    <xf numFmtId="0" fontId="99" fillId="0" borderId="27" applyNumberFormat="0" applyFill="0" applyAlignment="0" applyProtection="0"/>
    <xf numFmtId="0" fontId="99" fillId="0" borderId="27" applyNumberFormat="0" applyFill="0" applyAlignment="0" applyProtection="0"/>
    <xf numFmtId="0" fontId="100" fillId="0" borderId="27" applyNumberFormat="0" applyFill="0" applyAlignment="0" applyProtection="0"/>
    <xf numFmtId="0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99" fillId="0" borderId="0" applyNumberFormat="0" applyFill="0" applyBorder="0" applyAlignment="0" applyProtection="0"/>
    <xf numFmtId="0" fontId="100" fillId="0" borderId="0" applyNumberFormat="0" applyFill="0" applyBorder="0" applyAlignment="0" applyProtection="0"/>
    <xf numFmtId="0" fontId="101" fillId="50" borderId="23" applyNumberFormat="0" applyAlignment="0" applyProtection="0"/>
    <xf numFmtId="0" fontId="101" fillId="50" borderId="23" applyNumberFormat="0" applyAlignment="0" applyProtection="0"/>
    <xf numFmtId="0" fontId="101" fillId="50" borderId="23" applyNumberFormat="0" applyAlignment="0" applyProtection="0"/>
    <xf numFmtId="0" fontId="101" fillId="50" borderId="23" applyNumberFormat="0" applyAlignment="0" applyProtection="0"/>
    <xf numFmtId="0" fontId="101" fillId="50" borderId="23" applyNumberFormat="0" applyAlignment="0" applyProtection="0"/>
    <xf numFmtId="0" fontId="101" fillId="50" borderId="23" applyNumberFormat="0" applyAlignment="0" applyProtection="0"/>
    <xf numFmtId="0" fontId="102" fillId="50" borderId="23" applyNumberFormat="0" applyAlignment="0" applyProtection="0"/>
    <xf numFmtId="0" fontId="103" fillId="0" borderId="28" applyNumberFormat="0" applyFill="0" applyAlignment="0" applyProtection="0"/>
    <xf numFmtId="0" fontId="103" fillId="0" borderId="28" applyNumberFormat="0" applyFill="0" applyAlignment="0" applyProtection="0"/>
    <xf numFmtId="0" fontId="103" fillId="0" borderId="28" applyNumberFormat="0" applyFill="0" applyAlignment="0" applyProtection="0"/>
    <xf numFmtId="0" fontId="103" fillId="0" borderId="28" applyNumberFormat="0" applyFill="0" applyAlignment="0" applyProtection="0"/>
    <xf numFmtId="0" fontId="103" fillId="0" borderId="28" applyNumberFormat="0" applyFill="0" applyAlignment="0" applyProtection="0"/>
    <xf numFmtId="0" fontId="103" fillId="0" borderId="28" applyNumberFormat="0" applyFill="0" applyAlignment="0" applyProtection="0"/>
    <xf numFmtId="0" fontId="104" fillId="0" borderId="28" applyNumberFormat="0" applyFill="0" applyAlignment="0" applyProtection="0"/>
    <xf numFmtId="0" fontId="105" fillId="2" borderId="0" applyNumberFormat="0" applyBorder="0" applyAlignment="0" applyProtection="0"/>
    <xf numFmtId="0" fontId="105" fillId="2" borderId="0" applyNumberFormat="0" applyBorder="0" applyAlignment="0" applyProtection="0"/>
    <xf numFmtId="0" fontId="105" fillId="2" borderId="0" applyNumberFormat="0" applyBorder="0" applyAlignment="0" applyProtection="0"/>
    <xf numFmtId="0" fontId="105" fillId="2" borderId="0" applyNumberFormat="0" applyBorder="0" applyAlignment="0" applyProtection="0"/>
    <xf numFmtId="0" fontId="105" fillId="2" borderId="0" applyNumberFormat="0" applyBorder="0" applyAlignment="0" applyProtection="0"/>
    <xf numFmtId="0" fontId="105" fillId="2" borderId="0" applyNumberFormat="0" applyBorder="0" applyAlignment="0" applyProtection="0"/>
    <xf numFmtId="0" fontId="106" fillId="2" borderId="0" applyNumberFormat="0" applyBorder="0" applyAlignment="0" applyProtection="0"/>
    <xf numFmtId="0" fontId="81" fillId="65" borderId="29" applyNumberFormat="0" applyFont="0" applyAlignment="0" applyProtection="0"/>
    <xf numFmtId="0" fontId="81" fillId="65" borderId="29" applyNumberFormat="0" applyFont="0" applyAlignment="0" applyProtection="0"/>
    <xf numFmtId="0" fontId="81" fillId="65" borderId="29" applyNumberFormat="0" applyFont="0" applyAlignment="0" applyProtection="0"/>
    <xf numFmtId="0" fontId="81" fillId="65" borderId="29" applyNumberFormat="0" applyFont="0" applyAlignment="0" applyProtection="0"/>
    <xf numFmtId="0" fontId="81" fillId="65" borderId="29" applyNumberFormat="0" applyFont="0" applyAlignment="0" applyProtection="0"/>
    <xf numFmtId="0" fontId="81" fillId="65" borderId="29" applyNumberFormat="0" applyFont="0" applyAlignment="0" applyProtection="0"/>
    <xf numFmtId="0" fontId="107" fillId="63" borderId="30" applyNumberFormat="0" applyAlignment="0" applyProtection="0"/>
    <xf numFmtId="0" fontId="107" fillId="63" borderId="30" applyNumberFormat="0" applyAlignment="0" applyProtection="0"/>
    <xf numFmtId="0" fontId="107" fillId="63" borderId="30" applyNumberFormat="0" applyAlignment="0" applyProtection="0"/>
    <xf numFmtId="0" fontId="107" fillId="63" borderId="30" applyNumberFormat="0" applyAlignment="0" applyProtection="0"/>
    <xf numFmtId="0" fontId="107" fillId="63" borderId="30" applyNumberFormat="0" applyAlignment="0" applyProtection="0"/>
    <xf numFmtId="0" fontId="107" fillId="63" borderId="30" applyNumberFormat="0" applyAlignment="0" applyProtection="0"/>
    <xf numFmtId="0" fontId="108" fillId="63" borderId="30" applyNumberFormat="0" applyAlignment="0" applyProtection="0"/>
    <xf numFmtId="0" fontId="109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31" applyNumberFormat="0" applyFill="0" applyAlignment="0" applyProtection="0"/>
    <xf numFmtId="0" fontId="110" fillId="0" borderId="31" applyNumberFormat="0" applyFill="0" applyAlignment="0" applyProtection="0"/>
    <xf numFmtId="0" fontId="110" fillId="0" borderId="31" applyNumberFormat="0" applyFill="0" applyAlignment="0" applyProtection="0"/>
    <xf numFmtId="0" fontId="110" fillId="0" borderId="31" applyNumberFormat="0" applyFill="0" applyAlignment="0" applyProtection="0"/>
    <xf numFmtId="0" fontId="110" fillId="0" borderId="31" applyNumberFormat="0" applyFill="0" applyAlignment="0" applyProtection="0"/>
    <xf numFmtId="0" fontId="110" fillId="0" borderId="31" applyNumberFormat="0" applyFill="0" applyAlignment="0" applyProtection="0"/>
    <xf numFmtId="0" fontId="111" fillId="0" borderId="31" applyNumberFormat="0" applyFill="0" applyAlignment="0" applyProtection="0"/>
    <xf numFmtId="0" fontId="112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16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43" fontId="13" fillId="0" borderId="0" applyFont="0" applyFill="0" applyBorder="0" applyAlignment="0" applyProtection="0"/>
    <xf numFmtId="0" fontId="13" fillId="0" borderId="0">
      <alignment horizontal="left" wrapText="1"/>
    </xf>
    <xf numFmtId="0" fontId="125" fillId="0" borderId="0"/>
    <xf numFmtId="0" fontId="125" fillId="0" borderId="0"/>
    <xf numFmtId="0" fontId="125" fillId="0" borderId="0"/>
    <xf numFmtId="0" fontId="125" fillId="0" borderId="0"/>
    <xf numFmtId="0" fontId="13" fillId="0" borderId="0"/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/>
    <xf numFmtId="0" fontId="13" fillId="0" borderId="0"/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>
      <alignment horizontal="left" wrapText="1"/>
    </xf>
    <xf numFmtId="0" fontId="13" fillId="0" borderId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81" fillId="45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81" fillId="46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81" fillId="47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81" fillId="4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81" fillId="4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81" fillId="50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81" fillId="51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81" fillId="52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81" fillId="53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81" fillId="48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51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81" fillId="51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81" fillId="54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" fillId="47" borderId="0" applyNumberFormat="0" applyBorder="0" applyAlignment="0" applyProtection="0"/>
    <xf numFmtId="0" fontId="124" fillId="70" borderId="0" applyNumberFormat="0" applyBorder="0" applyAlignment="0" applyProtection="0"/>
    <xf numFmtId="0" fontId="124" fillId="70" borderId="0" applyNumberFormat="0" applyBorder="0" applyAlignment="0" applyProtection="0"/>
    <xf numFmtId="0" fontId="124" fillId="51" borderId="0" applyNumberFormat="0" applyBorder="0" applyAlignment="0" applyProtection="0"/>
    <xf numFmtId="0" fontId="124" fillId="55" borderId="0" applyNumberFormat="0" applyBorder="0" applyAlignment="0" applyProtection="0"/>
    <xf numFmtId="0" fontId="124" fillId="47" borderId="0" applyNumberFormat="0" applyBorder="0" applyAlignment="0" applyProtection="0"/>
    <xf numFmtId="0" fontId="124" fillId="52" borderId="0" applyNumberFormat="0" applyBorder="0" applyAlignment="0" applyProtection="0"/>
    <xf numFmtId="0" fontId="124" fillId="71" borderId="0" applyNumberFormat="0" applyBorder="0" applyAlignment="0" applyProtection="0"/>
    <xf numFmtId="0" fontId="124" fillId="72" borderId="0" applyNumberFormat="0" applyBorder="0" applyAlignment="0" applyProtection="0"/>
    <xf numFmtId="0" fontId="124" fillId="62" borderId="0" applyNumberFormat="0" applyBorder="0" applyAlignment="0" applyProtection="0"/>
    <xf numFmtId="0" fontId="124" fillId="73" borderId="0" applyNumberFormat="0" applyBorder="0" applyAlignment="0" applyProtection="0"/>
    <xf numFmtId="0" fontId="124" fillId="74" borderId="0" applyNumberFormat="0" applyBorder="0" applyAlignment="0" applyProtection="0"/>
    <xf numFmtId="37" fontId="126" fillId="0" borderId="0"/>
    <xf numFmtId="0" fontId="127" fillId="67" borderId="0" applyNumberFormat="0" applyBorder="0" applyAlignment="0" applyProtection="0"/>
    <xf numFmtId="193" fontId="31" fillId="12" borderId="41" applyNumberFormat="0" applyProtection="0"/>
    <xf numFmtId="0" fontId="32" fillId="31" borderId="0">
      <alignment horizontal="center"/>
    </xf>
    <xf numFmtId="0" fontId="87" fillId="63" borderId="23" applyNumberFormat="0" applyAlignment="0" applyProtection="0"/>
    <xf numFmtId="0" fontId="87" fillId="63" borderId="23" applyNumberFormat="0" applyAlignment="0" applyProtection="0"/>
    <xf numFmtId="5" fontId="35" fillId="0" borderId="5" applyAlignment="0" applyProtection="0"/>
    <xf numFmtId="194" fontId="32" fillId="0" borderId="0">
      <alignment horizontal="right"/>
    </xf>
    <xf numFmtId="195" fontId="32" fillId="0" borderId="0" applyFont="0" applyFill="0" applyBorder="0" applyAlignment="0" applyProtection="0"/>
    <xf numFmtId="0" fontId="128" fillId="75" borderId="42" applyNumberFormat="0" applyAlignment="0" applyProtection="0"/>
    <xf numFmtId="0" fontId="129" fillId="0" borderId="0"/>
    <xf numFmtId="166" fontId="13" fillId="0" borderId="0" applyBorder="0" applyProtection="0"/>
    <xf numFmtId="0" fontId="122" fillId="76" borderId="43" applyNumberFormat="0" applyAlignment="0" applyProtection="0"/>
    <xf numFmtId="196" fontId="130" fillId="0" borderId="0"/>
    <xf numFmtId="196" fontId="130" fillId="0" borderId="0"/>
    <xf numFmtId="196" fontId="130" fillId="0" borderId="0"/>
    <xf numFmtId="196" fontId="130" fillId="0" borderId="0"/>
    <xf numFmtId="196" fontId="130" fillId="0" borderId="0"/>
    <xf numFmtId="196" fontId="130" fillId="0" borderId="0"/>
    <xf numFmtId="196" fontId="130" fillId="0" borderId="0"/>
    <xf numFmtId="196" fontId="130" fillId="0" borderId="0"/>
    <xf numFmtId="43" fontId="81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36" fillId="0" borderId="0" applyFont="0" applyFill="0" applyBorder="0" applyAlignment="0" applyProtection="0">
      <alignment horizontal="right"/>
    </xf>
    <xf numFmtId="43" fontId="13" fillId="0" borderId="0" applyFont="0" applyFill="0" applyBorder="0" applyAlignment="0" applyProtection="0"/>
    <xf numFmtId="0" fontId="36" fillId="0" borderId="0" applyFont="0" applyFill="0" applyBorder="0" applyAlignment="0" applyProtection="0">
      <alignment horizontal="right"/>
    </xf>
    <xf numFmtId="43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81" fillId="0" borderId="0" applyFont="0" applyFill="0" applyBorder="0" applyAlignment="0" applyProtection="0"/>
    <xf numFmtId="43" fontId="81" fillId="0" borderId="0" applyFont="0" applyFill="0" applyBorder="0" applyAlignment="0" applyProtection="0"/>
    <xf numFmtId="166" fontId="81" fillId="0" borderId="0" applyFont="0" applyFill="0" applyBorder="0" applyAlignment="0" applyProtection="0"/>
    <xf numFmtId="166" fontId="81" fillId="0" borderId="0" applyFont="0" applyFill="0" applyBorder="0" applyAlignment="0" applyProtection="0"/>
    <xf numFmtId="166" fontId="81" fillId="0" borderId="0" applyFont="0" applyFill="0" applyBorder="0" applyAlignment="0" applyProtection="0"/>
    <xf numFmtId="166" fontId="81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43" fontId="81" fillId="0" borderId="0" applyFont="0" applyFill="0" applyBorder="0" applyAlignment="0" applyProtection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81" fillId="0" borderId="0" applyFont="0" applyFill="0" applyBorder="0" applyAlignment="0" applyProtection="0"/>
    <xf numFmtId="37" fontId="50" fillId="0" borderId="0" applyFill="0" applyBorder="0" applyAlignment="0" applyProtection="0"/>
    <xf numFmtId="197" fontId="32" fillId="0" borderId="0" applyFont="0" applyFill="0" applyBorder="0" applyAlignment="0" applyProtection="0"/>
    <xf numFmtId="176" fontId="131" fillId="0" borderId="44"/>
    <xf numFmtId="176" fontId="131" fillId="0" borderId="44"/>
    <xf numFmtId="176" fontId="131" fillId="0" borderId="44"/>
    <xf numFmtId="176" fontId="131" fillId="0" borderId="44"/>
    <xf numFmtId="176" fontId="131" fillId="0" borderId="44"/>
    <xf numFmtId="176" fontId="131" fillId="0" borderId="44"/>
    <xf numFmtId="176" fontId="131" fillId="0" borderId="44"/>
    <xf numFmtId="176" fontId="131" fillId="0" borderId="44"/>
    <xf numFmtId="176" fontId="131" fillId="0" borderId="44"/>
    <xf numFmtId="176" fontId="131" fillId="0" borderId="44"/>
    <xf numFmtId="176" fontId="131" fillId="0" borderId="44"/>
    <xf numFmtId="0" fontId="13" fillId="0" borderId="0"/>
    <xf numFmtId="0" fontId="13" fillId="0" borderId="0"/>
    <xf numFmtId="0" fontId="89" fillId="64" borderId="24" applyNumberFormat="0" applyAlignment="0" applyProtection="0"/>
    <xf numFmtId="5" fontId="50" fillId="0" borderId="0" applyFill="0" applyBorder="0" applyAlignment="0" applyProtection="0"/>
    <xf numFmtId="0" fontId="37" fillId="0" borderId="0">
      <protection locked="0"/>
    </xf>
    <xf numFmtId="198" fontId="32" fillId="0" borderId="0">
      <alignment horizontal="right"/>
    </xf>
    <xf numFmtId="198" fontId="32" fillId="0" borderId="0">
      <alignment horizontal="right"/>
    </xf>
    <xf numFmtId="198" fontId="32" fillId="0" borderId="0">
      <alignment horizontal="right"/>
    </xf>
    <xf numFmtId="198" fontId="32" fillId="0" borderId="0">
      <alignment horizontal="right"/>
    </xf>
    <xf numFmtId="198" fontId="32" fillId="0" borderId="0">
      <alignment horizontal="right"/>
    </xf>
    <xf numFmtId="0" fontId="132" fillId="0" borderId="0" applyNumberFormat="0" applyFont="0" applyFill="0" applyBorder="0" applyAlignment="0" applyProtection="0"/>
    <xf numFmtId="192" fontId="133" fillId="41" borderId="35">
      <alignment horizontal="center"/>
    </xf>
    <xf numFmtId="0" fontId="32" fillId="0" borderId="0">
      <alignment horizontal="center"/>
    </xf>
    <xf numFmtId="199" fontId="32" fillId="0" borderId="0" applyFont="0" applyFill="0" applyBorder="0" applyAlignment="0" applyProtection="0">
      <alignment horizontal="right"/>
    </xf>
    <xf numFmtId="200" fontId="32" fillId="0" borderId="0" applyFont="0" applyFill="0" applyBorder="0" applyAlignment="0" applyProtection="0"/>
    <xf numFmtId="0" fontId="134" fillId="64" borderId="0"/>
    <xf numFmtId="0" fontId="13" fillId="0" borderId="0">
      <protection locked="0"/>
    </xf>
    <xf numFmtId="164" fontId="32" fillId="31" borderId="0"/>
    <xf numFmtId="0" fontId="135" fillId="0" borderId="0"/>
    <xf numFmtId="0" fontId="13" fillId="0" borderId="0">
      <protection locked="0"/>
    </xf>
    <xf numFmtId="0" fontId="13" fillId="0" borderId="0">
      <protection locked="0"/>
    </xf>
    <xf numFmtId="3" fontId="136" fillId="3" borderId="0" applyFont="0" applyFill="0" applyBorder="0">
      <alignment horizontal="right"/>
    </xf>
    <xf numFmtId="0" fontId="137" fillId="0" borderId="0" applyNumberFormat="0" applyFill="0" applyBorder="0" applyAlignment="0" applyProtection="0"/>
    <xf numFmtId="0" fontId="13" fillId="0" borderId="0">
      <protection locked="0"/>
    </xf>
    <xf numFmtId="0" fontId="138" fillId="77" borderId="37"/>
    <xf numFmtId="0" fontId="138" fillId="77" borderId="37"/>
    <xf numFmtId="0" fontId="13" fillId="0" borderId="0">
      <protection locked="0"/>
    </xf>
    <xf numFmtId="0" fontId="103" fillId="0" borderId="28" applyNumberFormat="0" applyFill="0" applyAlignment="0" applyProtection="0"/>
    <xf numFmtId="0" fontId="93" fillId="47" borderId="0" applyNumberFormat="0" applyBorder="0" applyAlignment="0" applyProtection="0"/>
    <xf numFmtId="0" fontId="139" fillId="78" borderId="0" applyNumberFormat="0" applyBorder="0" applyAlignment="0" applyProtection="0"/>
    <xf numFmtId="0" fontId="53" fillId="0" borderId="0" applyProtection="0">
      <alignment horizontal="right"/>
    </xf>
    <xf numFmtId="0" fontId="140" fillId="0" borderId="0" applyProtection="0">
      <alignment horizontal="left"/>
    </xf>
    <xf numFmtId="0" fontId="140" fillId="0" borderId="0">
      <alignment horizontal="right"/>
    </xf>
    <xf numFmtId="0" fontId="140" fillId="0" borderId="0">
      <alignment horizontal="center"/>
    </xf>
    <xf numFmtId="0" fontId="140" fillId="0" borderId="9">
      <alignment horizontal="right"/>
    </xf>
    <xf numFmtId="0" fontId="141" fillId="0" borderId="45" applyNumberFormat="0" applyFill="0" applyAlignment="0" applyProtection="0"/>
    <xf numFmtId="0" fontId="142" fillId="0" borderId="0">
      <alignment horizontal="right" wrapText="1"/>
    </xf>
    <xf numFmtId="0" fontId="142" fillId="0" borderId="0">
      <alignment horizontal="right" wrapText="1"/>
    </xf>
    <xf numFmtId="0" fontId="142" fillId="0" borderId="0">
      <alignment horizontal="right" wrapText="1"/>
    </xf>
    <xf numFmtId="0" fontId="143" fillId="0" borderId="46" applyNumberFormat="0" applyFill="0" applyAlignment="0" applyProtection="0"/>
    <xf numFmtId="0" fontId="144" fillId="0" borderId="40" applyNumberFormat="0" applyFill="0" applyAlignment="0" applyProtection="0"/>
    <xf numFmtId="0" fontId="144" fillId="0" borderId="0" applyNumberFormat="0" applyFill="0" applyBorder="0" applyAlignment="0" applyProtection="0"/>
    <xf numFmtId="193" fontId="43" fillId="0" borderId="21" applyNumberFormat="0" applyFill="0" applyProtection="0"/>
    <xf numFmtId="193" fontId="43" fillId="0" borderId="21" applyNumberFormat="0" applyFill="0" applyProtection="0"/>
    <xf numFmtId="193" fontId="43" fillId="0" borderId="21" applyNumberFormat="0" applyFill="0" applyProtection="0"/>
    <xf numFmtId="193" fontId="43" fillId="0" borderId="21" applyNumberFormat="0" applyFill="0" applyProtection="0"/>
    <xf numFmtId="193" fontId="43" fillId="0" borderId="21" applyNumberFormat="0" applyFill="0" applyProtection="0"/>
    <xf numFmtId="193" fontId="43" fillId="0" borderId="21" applyNumberFormat="0" applyFill="0" applyProtection="0"/>
    <xf numFmtId="193" fontId="43" fillId="0" borderId="21" applyNumberFormat="0" applyFill="0" applyProtection="0"/>
    <xf numFmtId="193" fontId="43" fillId="0" borderId="21" applyNumberFormat="0" applyFill="0" applyProtection="0"/>
    <xf numFmtId="193" fontId="43" fillId="0" borderId="21" applyNumberFormat="0" applyFill="0" applyProtection="0"/>
    <xf numFmtId="193" fontId="43" fillId="0" borderId="21" applyNumberFormat="0" applyFill="0" applyProtection="0"/>
    <xf numFmtId="193" fontId="43" fillId="0" borderId="21" applyNumberFormat="0" applyFill="0" applyProtection="0"/>
    <xf numFmtId="193" fontId="43" fillId="0" borderId="21" applyNumberFormat="0" applyFill="0" applyProtection="0"/>
    <xf numFmtId="193" fontId="43" fillId="0" borderId="21" applyNumberFormat="0" applyFill="0" applyProtection="0"/>
    <xf numFmtId="193" fontId="43" fillId="0" borderId="21" applyNumberFormat="0" applyFill="0" applyProtection="0"/>
    <xf numFmtId="193" fontId="43" fillId="0" borderId="21" applyNumberFormat="0" applyFill="0" applyProtection="0"/>
    <xf numFmtId="193" fontId="43" fillId="0" borderId="21" applyNumberFormat="0" applyFill="0" applyProtection="0"/>
    <xf numFmtId="193" fontId="43" fillId="0" borderId="21" applyNumberFormat="0" applyFill="0" applyProtection="0"/>
    <xf numFmtId="193" fontId="43" fillId="0" borderId="21" applyNumberFormat="0" applyFill="0" applyProtection="0"/>
    <xf numFmtId="193" fontId="43" fillId="0" borderId="21" applyNumberFormat="0" applyFill="0" applyProtection="0"/>
    <xf numFmtId="193" fontId="43" fillId="0" borderId="21" applyNumberFormat="0" applyFill="0" applyProtection="0"/>
    <xf numFmtId="0" fontId="55" fillId="12" borderId="10" applyNumberFormat="0" applyBorder="0" applyAlignment="0" applyProtection="0">
      <alignment textRotation="90"/>
    </xf>
    <xf numFmtId="0" fontId="55" fillId="12" borderId="10" applyNumberFormat="0" applyBorder="0" applyAlignment="0" applyProtection="0">
      <alignment textRotation="90"/>
    </xf>
    <xf numFmtId="0" fontId="142" fillId="0" borderId="0">
      <alignment horizontal="right" wrapText="1"/>
    </xf>
    <xf numFmtId="0" fontId="142" fillId="0" borderId="0">
      <alignment horizontal="right" wrapText="1"/>
    </xf>
    <xf numFmtId="193" fontId="43" fillId="0" borderId="21" applyNumberFormat="0" applyFill="0" applyProtection="0">
      <alignment horizontal="right"/>
    </xf>
    <xf numFmtId="193" fontId="43" fillId="0" borderId="21" applyNumberFormat="0" applyFill="0" applyProtection="0">
      <alignment horizontal="right"/>
    </xf>
    <xf numFmtId="193" fontId="43" fillId="0" borderId="21" applyNumberFormat="0" applyFill="0" applyProtection="0">
      <alignment horizontal="right"/>
    </xf>
    <xf numFmtId="193" fontId="43" fillId="0" borderId="21" applyNumberFormat="0" applyFill="0" applyProtection="0">
      <alignment horizontal="right"/>
    </xf>
    <xf numFmtId="193" fontId="43" fillId="0" borderId="21" applyNumberFormat="0" applyFill="0" applyProtection="0">
      <alignment horizontal="right"/>
    </xf>
    <xf numFmtId="193" fontId="43" fillId="0" borderId="21" applyNumberFormat="0" applyFill="0" applyProtection="0">
      <alignment horizontal="right"/>
    </xf>
    <xf numFmtId="193" fontId="43" fillId="0" borderId="21" applyNumberFormat="0" applyFill="0" applyProtection="0">
      <alignment horizontal="right"/>
    </xf>
    <xf numFmtId="193" fontId="43" fillId="0" borderId="21" applyNumberFormat="0" applyFill="0" applyProtection="0">
      <alignment horizontal="right"/>
    </xf>
    <xf numFmtId="193" fontId="43" fillId="0" borderId="21" applyNumberFormat="0" applyFill="0" applyProtection="0">
      <alignment horizontal="right"/>
    </xf>
    <xf numFmtId="193" fontId="43" fillId="0" borderId="21" applyNumberFormat="0" applyFill="0" applyProtection="0">
      <alignment horizontal="right"/>
    </xf>
    <xf numFmtId="193" fontId="43" fillId="0" borderId="21" applyNumberFormat="0" applyFill="0" applyProtection="0">
      <alignment horizontal="right"/>
    </xf>
    <xf numFmtId="193" fontId="43" fillId="0" borderId="21" applyNumberFormat="0" applyFill="0" applyProtection="0">
      <alignment horizontal="right"/>
    </xf>
    <xf numFmtId="193" fontId="43" fillId="0" borderId="21" applyNumberFormat="0" applyFill="0" applyProtection="0">
      <alignment horizontal="right"/>
    </xf>
    <xf numFmtId="193" fontId="43" fillId="0" borderId="21" applyNumberFormat="0" applyFill="0" applyProtection="0">
      <alignment horizontal="right"/>
    </xf>
    <xf numFmtId="193" fontId="43" fillId="0" borderId="21" applyNumberFormat="0" applyFill="0" applyProtection="0">
      <alignment horizontal="right"/>
    </xf>
    <xf numFmtId="193" fontId="43" fillId="0" borderId="21" applyNumberFormat="0" applyFill="0" applyProtection="0">
      <alignment horizontal="right"/>
    </xf>
    <xf numFmtId="193" fontId="43" fillId="0" borderId="21" applyNumberFormat="0" applyFill="0" applyProtection="0">
      <alignment horizontal="right"/>
    </xf>
    <xf numFmtId="193" fontId="43" fillId="0" borderId="21" applyNumberFormat="0" applyFill="0" applyProtection="0">
      <alignment horizontal="right"/>
    </xf>
    <xf numFmtId="193" fontId="43" fillId="0" borderId="21" applyNumberFormat="0" applyFill="0" applyProtection="0">
      <alignment horizontal="right"/>
    </xf>
    <xf numFmtId="193" fontId="43" fillId="0" borderId="21" applyNumberFormat="0" applyFill="0" applyProtection="0">
      <alignment horizontal="right"/>
    </xf>
    <xf numFmtId="0" fontId="57" fillId="0" borderId="0" applyNumberFormat="0" applyFill="0" applyBorder="0" applyAlignment="0" applyProtection="0">
      <alignment vertical="top"/>
      <protection locked="0"/>
    </xf>
    <xf numFmtId="10" fontId="32" fillId="14" borderId="11" applyNumberFormat="0" applyBorder="0" applyAlignment="0" applyProtection="0"/>
    <xf numFmtId="0" fontId="145" fillId="47" borderId="42" applyNumberFormat="0" applyAlignment="0" applyProtection="0"/>
    <xf numFmtId="0" fontId="145" fillId="47" borderId="42" applyNumberFormat="0" applyAlignment="0" applyProtection="0"/>
    <xf numFmtId="0" fontId="145" fillId="47" borderId="42" applyNumberFormat="0" applyAlignment="0" applyProtection="0"/>
    <xf numFmtId="201" fontId="146" fillId="77" borderId="0" applyNumberFormat="0" applyBorder="0">
      <alignment horizontal="right"/>
      <protection locked="0"/>
    </xf>
    <xf numFmtId="0" fontId="145" fillId="47" borderId="42" applyNumberFormat="0" applyAlignment="0" applyProtection="0"/>
    <xf numFmtId="201" fontId="146" fillId="77" borderId="0" applyNumberFormat="0" applyBorder="0">
      <alignment horizontal="right"/>
      <protection locked="0"/>
    </xf>
    <xf numFmtId="0" fontId="145" fillId="47" borderId="42" applyNumberFormat="0" applyAlignment="0" applyProtection="0"/>
    <xf numFmtId="201" fontId="146" fillId="77" borderId="0" applyNumberFormat="0" applyBorder="0">
      <alignment horizontal="right"/>
      <protection locked="0"/>
    </xf>
    <xf numFmtId="0" fontId="145" fillId="47" borderId="42" applyNumberFormat="0" applyAlignment="0" applyProtection="0"/>
    <xf numFmtId="0" fontId="145" fillId="47" borderId="42" applyNumberFormat="0" applyAlignment="0" applyProtection="0"/>
    <xf numFmtId="0" fontId="145" fillId="47" borderId="42" applyNumberFormat="0" applyAlignment="0" applyProtection="0"/>
    <xf numFmtId="0" fontId="145" fillId="47" borderId="42" applyNumberFormat="0" applyAlignment="0" applyProtection="0"/>
    <xf numFmtId="0" fontId="145" fillId="47" borderId="42" applyNumberFormat="0" applyAlignment="0" applyProtection="0"/>
    <xf numFmtId="0" fontId="145" fillId="47" borderId="42" applyNumberFormat="0" applyAlignment="0" applyProtection="0"/>
    <xf numFmtId="0" fontId="147" fillId="79" borderId="0">
      <alignment horizontal="left"/>
    </xf>
    <xf numFmtId="0" fontId="147" fillId="79" borderId="0">
      <alignment horizontal="left"/>
    </xf>
    <xf numFmtId="0" fontId="147" fillId="79" borderId="0">
      <alignment horizontal="left"/>
    </xf>
    <xf numFmtId="0" fontId="147" fillId="79" borderId="0">
      <alignment horizontal="left"/>
    </xf>
    <xf numFmtId="0" fontId="147" fillId="79" borderId="0">
      <alignment horizontal="left"/>
    </xf>
    <xf numFmtId="0" fontId="145" fillId="47" borderId="42" applyNumberFormat="0" applyAlignment="0" applyProtection="0"/>
    <xf numFmtId="0" fontId="145" fillId="47" borderId="42" applyNumberFormat="0" applyAlignment="0" applyProtection="0"/>
    <xf numFmtId="0" fontId="145" fillId="47" borderId="42" applyNumberFormat="0" applyAlignment="0" applyProtection="0"/>
    <xf numFmtId="0" fontId="145" fillId="47" borderId="42" applyNumberFormat="0" applyAlignment="0" applyProtection="0"/>
    <xf numFmtId="0" fontId="145" fillId="47" borderId="42" applyNumberFormat="0" applyAlignment="0" applyProtection="0"/>
    <xf numFmtId="0" fontId="145" fillId="47" borderId="42" applyNumberFormat="0" applyAlignment="0" applyProtection="0"/>
    <xf numFmtId="0" fontId="145" fillId="47" borderId="42" applyNumberFormat="0" applyAlignment="0" applyProtection="0"/>
    <xf numFmtId="0" fontId="145" fillId="47" borderId="42" applyNumberFormat="0" applyAlignment="0" applyProtection="0"/>
    <xf numFmtId="0" fontId="145" fillId="47" borderId="42" applyNumberFormat="0" applyAlignment="0" applyProtection="0"/>
    <xf numFmtId="0" fontId="145" fillId="47" borderId="42" applyNumberFormat="0" applyAlignment="0" applyProtection="0"/>
    <xf numFmtId="0" fontId="145" fillId="47" borderId="42" applyNumberFormat="0" applyAlignment="0" applyProtection="0"/>
    <xf numFmtId="0" fontId="145" fillId="47" borderId="42" applyNumberFormat="0" applyAlignment="0" applyProtection="0"/>
    <xf numFmtId="0" fontId="145" fillId="47" borderId="42" applyNumberFormat="0" applyAlignment="0" applyProtection="0"/>
    <xf numFmtId="0" fontId="145" fillId="47" borderId="42" applyNumberFormat="0" applyAlignment="0" applyProtection="0"/>
    <xf numFmtId="0" fontId="145" fillId="47" borderId="42" applyNumberFormat="0" applyAlignment="0" applyProtection="0"/>
    <xf numFmtId="0" fontId="145" fillId="47" borderId="42" applyNumberFormat="0" applyAlignment="0" applyProtection="0"/>
    <xf numFmtId="0" fontId="145" fillId="47" borderId="42" applyNumberFormat="0" applyAlignment="0" applyProtection="0"/>
    <xf numFmtId="0" fontId="145" fillId="47" borderId="42" applyNumberFormat="0" applyAlignment="0" applyProtection="0"/>
    <xf numFmtId="0" fontId="145" fillId="47" borderId="42" applyNumberFormat="0" applyAlignment="0" applyProtection="0"/>
    <xf numFmtId="0" fontId="148" fillId="47" borderId="42" applyNumberFormat="0" applyAlignment="0" applyProtection="0"/>
    <xf numFmtId="0" fontId="145" fillId="47" borderId="42" applyNumberFormat="0" applyAlignment="0" applyProtection="0"/>
    <xf numFmtId="201" fontId="146" fillId="77" borderId="0" applyNumberFormat="0" applyBorder="0">
      <alignment horizontal="right"/>
      <protection locked="0"/>
    </xf>
    <xf numFmtId="0" fontId="148" fillId="47" borderId="42" applyNumberFormat="0" applyAlignment="0" applyProtection="0"/>
    <xf numFmtId="0" fontId="148" fillId="47" borderId="42" applyNumberFormat="0" applyAlignment="0" applyProtection="0"/>
    <xf numFmtId="0" fontId="148" fillId="47" borderId="42" applyNumberFormat="0" applyAlignment="0" applyProtection="0"/>
    <xf numFmtId="0" fontId="148" fillId="47" borderId="42" applyNumberFormat="0" applyAlignment="0" applyProtection="0"/>
    <xf numFmtId="0" fontId="148" fillId="47" borderId="42" applyNumberFormat="0" applyAlignment="0" applyProtection="0"/>
    <xf numFmtId="0" fontId="145" fillId="47" borderId="42" applyNumberFormat="0" applyAlignment="0" applyProtection="0"/>
    <xf numFmtId="0" fontId="145" fillId="47" borderId="42" applyNumberFormat="0" applyAlignment="0" applyProtection="0"/>
    <xf numFmtId="201" fontId="146" fillId="77" borderId="0" applyNumberFormat="0" applyBorder="0">
      <alignment horizontal="right"/>
      <protection locked="0"/>
    </xf>
    <xf numFmtId="0" fontId="145" fillId="47" borderId="42" applyNumberFormat="0" applyAlignment="0" applyProtection="0"/>
    <xf numFmtId="0" fontId="145" fillId="47" borderId="42" applyNumberFormat="0" applyAlignment="0" applyProtection="0"/>
    <xf numFmtId="0" fontId="145" fillId="47" borderId="42" applyNumberFormat="0" applyAlignment="0" applyProtection="0"/>
    <xf numFmtId="0" fontId="145" fillId="47" borderId="42" applyNumberFormat="0" applyAlignment="0" applyProtection="0"/>
    <xf numFmtId="0" fontId="145" fillId="47" borderId="42" applyNumberFormat="0" applyAlignment="0" applyProtection="0"/>
    <xf numFmtId="0" fontId="145" fillId="47" borderId="42" applyNumberFormat="0" applyAlignment="0" applyProtection="0"/>
    <xf numFmtId="0" fontId="145" fillId="47" borderId="42" applyNumberFormat="0" applyAlignment="0" applyProtection="0"/>
    <xf numFmtId="0" fontId="145" fillId="47" borderId="42" applyNumberFormat="0" applyAlignment="0" applyProtection="0"/>
    <xf numFmtId="193" fontId="56" fillId="30" borderId="0" applyNumberFormat="0" applyBorder="0">
      <alignment horizontal="right"/>
      <protection locked="0"/>
    </xf>
    <xf numFmtId="0" fontId="147" fillId="79" borderId="0">
      <alignment horizontal="left"/>
    </xf>
    <xf numFmtId="0" fontId="147" fillId="79" borderId="0">
      <alignment horizontal="center"/>
    </xf>
    <xf numFmtId="15" fontId="149" fillId="30" borderId="0">
      <alignment horizontal="center"/>
    </xf>
    <xf numFmtId="0" fontId="147" fillId="79" borderId="0">
      <alignment horizontal="left"/>
    </xf>
    <xf numFmtId="10" fontId="133" fillId="41" borderId="0">
      <alignment horizontal="right"/>
    </xf>
    <xf numFmtId="0" fontId="147" fillId="79" borderId="0">
      <alignment horizontal="left"/>
    </xf>
    <xf numFmtId="1" fontId="32" fillId="0" borderId="0"/>
    <xf numFmtId="0" fontId="101" fillId="50" borderId="23" applyNumberFormat="0" applyAlignment="0" applyProtection="0"/>
    <xf numFmtId="0" fontId="101" fillId="50" borderId="23" applyNumberFormat="0" applyAlignment="0" applyProtection="0"/>
    <xf numFmtId="0" fontId="95" fillId="0" borderId="25" applyNumberFormat="0" applyFill="0" applyAlignment="0" applyProtection="0"/>
    <xf numFmtId="0" fontId="97" fillId="0" borderId="26" applyNumberFormat="0" applyFill="0" applyAlignment="0" applyProtection="0"/>
    <xf numFmtId="0" fontId="99" fillId="0" borderId="27" applyNumberFormat="0" applyFill="0" applyAlignment="0" applyProtection="0"/>
    <xf numFmtId="0" fontId="99" fillId="0" borderId="0" applyNumberFormat="0" applyFill="0" applyBorder="0" applyAlignment="0" applyProtection="0"/>
    <xf numFmtId="0" fontId="150" fillId="0" borderId="47" applyNumberFormat="0" applyFill="0" applyAlignment="0" applyProtection="0"/>
    <xf numFmtId="202" fontId="32" fillId="0" borderId="0" applyFont="0" applyFill="0" applyBorder="0" applyAlignment="0" applyProtection="0"/>
    <xf numFmtId="203" fontId="32" fillId="0" borderId="0" applyBorder="0">
      <alignment horizontal="right"/>
    </xf>
    <xf numFmtId="40" fontId="147" fillId="79" borderId="0">
      <alignment horizontal="center"/>
    </xf>
    <xf numFmtId="40" fontId="147" fillId="79" borderId="0">
      <alignment horizontal="center"/>
    </xf>
    <xf numFmtId="38" fontId="32" fillId="41" borderId="39">
      <alignment horizontal="center"/>
    </xf>
    <xf numFmtId="0" fontId="32" fillId="0" borderId="0">
      <alignment horizontal="center"/>
    </xf>
    <xf numFmtId="0" fontId="13" fillId="0" borderId="0">
      <protection locked="0"/>
    </xf>
    <xf numFmtId="204" fontId="32" fillId="0" borderId="0" applyFont="0" applyFill="0" applyBorder="0" applyAlignment="0" applyProtection="0"/>
    <xf numFmtId="205" fontId="32" fillId="0" borderId="0" applyFont="0" applyFill="0" applyBorder="0" applyAlignment="0" applyProtection="0"/>
    <xf numFmtId="0" fontId="151" fillId="0" borderId="0" applyFill="0" applyBorder="0" applyAlignment="0" applyProtection="0"/>
    <xf numFmtId="0" fontId="105" fillId="2" borderId="0" applyNumberFormat="0" applyBorder="0" applyAlignment="0" applyProtection="0"/>
    <xf numFmtId="0" fontId="152" fillId="47" borderId="0" applyNumberFormat="0" applyBorder="0" applyAlignment="0" applyProtection="0"/>
    <xf numFmtId="37" fontId="13" fillId="0" borderId="0"/>
    <xf numFmtId="0" fontId="13" fillId="0" borderId="0"/>
    <xf numFmtId="0" fontId="32" fillId="0" borderId="0" applyFill="0" applyBorder="0" applyAlignment="0" applyProtection="0"/>
    <xf numFmtId="0" fontId="13" fillId="0" borderId="0"/>
    <xf numFmtId="0" fontId="12" fillId="0" borderId="0"/>
    <xf numFmtId="0" fontId="13" fillId="0" borderId="0"/>
    <xf numFmtId="0" fontId="12" fillId="0" borderId="0"/>
    <xf numFmtId="0" fontId="13" fillId="0" borderId="0"/>
    <xf numFmtId="0" fontId="12" fillId="0" borderId="0"/>
    <xf numFmtId="0" fontId="13" fillId="0" borderId="0"/>
    <xf numFmtId="0" fontId="12" fillId="0" borderId="0"/>
    <xf numFmtId="0" fontId="32" fillId="0" borderId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81" fillId="0" borderId="0"/>
    <xf numFmtId="0" fontId="12" fillId="0" borderId="0"/>
    <xf numFmtId="0" fontId="32" fillId="0" borderId="0" applyBorder="0" applyAlignment="0" applyProtection="0">
      <alignment horizont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201" fontId="3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2" fillId="0" borderId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2" fillId="0" borderId="0"/>
    <xf numFmtId="0" fontId="15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32" fillId="0" borderId="0" applyFill="0" applyBorder="0" applyAlignment="0" applyProtection="0"/>
    <xf numFmtId="0" fontId="13" fillId="0" borderId="0"/>
    <xf numFmtId="0" fontId="32" fillId="0" borderId="0" applyBorder="0" applyAlignment="0" applyProtection="0">
      <alignment horizontal="center"/>
    </xf>
    <xf numFmtId="0" fontId="13" fillId="65" borderId="29" applyNumberFormat="0" applyFont="0" applyAlignment="0" applyProtection="0"/>
    <xf numFmtId="0" fontId="13" fillId="65" borderId="29" applyNumberFormat="0" applyFont="0" applyAlignment="0" applyProtection="0"/>
    <xf numFmtId="0" fontId="85" fillId="46" borderId="0" applyNumberFormat="0" applyBorder="0" applyAlignment="0" applyProtection="0"/>
    <xf numFmtId="0" fontId="154" fillId="75" borderId="48" applyNumberFormat="0" applyAlignment="0" applyProtection="0"/>
    <xf numFmtId="0" fontId="32" fillId="0" borderId="0" applyNumberFormat="0" applyFont="0" applyBorder="0" applyAlignment="0"/>
    <xf numFmtId="206" fontId="13" fillId="0" borderId="0"/>
    <xf numFmtId="207" fontId="155" fillId="0" borderId="0"/>
    <xf numFmtId="207" fontId="155" fillId="0" borderId="0"/>
    <xf numFmtId="207" fontId="155" fillId="0" borderId="0"/>
    <xf numFmtId="207" fontId="155" fillId="0" borderId="0"/>
    <xf numFmtId="207" fontId="155" fillId="0" borderId="0"/>
    <xf numFmtId="207" fontId="155" fillId="0" borderId="0"/>
    <xf numFmtId="208" fontId="13" fillId="0" borderId="0"/>
    <xf numFmtId="208" fontId="13" fillId="0" borderId="0"/>
    <xf numFmtId="208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7" fontId="155" fillId="0" borderId="0"/>
    <xf numFmtId="207" fontId="155" fillId="0" borderId="0"/>
    <xf numFmtId="207" fontId="155" fillId="0" borderId="0"/>
    <xf numFmtId="207" fontId="155" fillId="0" borderId="0"/>
    <xf numFmtId="207" fontId="155" fillId="0" borderId="0"/>
    <xf numFmtId="207" fontId="155" fillId="0" borderId="0"/>
    <xf numFmtId="208" fontId="13" fillId="0" borderId="0"/>
    <xf numFmtId="208" fontId="13" fillId="0" borderId="0"/>
    <xf numFmtId="208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7" fontId="155" fillId="0" borderId="0"/>
    <xf numFmtId="207" fontId="155" fillId="0" borderId="0"/>
    <xf numFmtId="207" fontId="155" fillId="0" borderId="0"/>
    <xf numFmtId="207" fontId="155" fillId="0" borderId="0"/>
    <xf numFmtId="207" fontId="155" fillId="0" borderId="0"/>
    <xf numFmtId="207" fontId="155" fillId="0" borderId="0"/>
    <xf numFmtId="206" fontId="13" fillId="0" borderId="0"/>
    <xf numFmtId="206" fontId="13" fillId="0" borderId="0"/>
    <xf numFmtId="206" fontId="13" fillId="0" borderId="0"/>
    <xf numFmtId="207" fontId="155" fillId="0" borderId="0"/>
    <xf numFmtId="207" fontId="155" fillId="0" borderId="0"/>
    <xf numFmtId="207" fontId="155" fillId="0" borderId="0"/>
    <xf numFmtId="206" fontId="13" fillId="0" borderId="0"/>
    <xf numFmtId="206" fontId="13" fillId="0" borderId="0"/>
    <xf numFmtId="206" fontId="13" fillId="0" borderId="0"/>
    <xf numFmtId="207" fontId="155" fillId="0" borderId="0"/>
    <xf numFmtId="207" fontId="155" fillId="0" borderId="0"/>
    <xf numFmtId="207" fontId="155" fillId="0" borderId="0"/>
    <xf numFmtId="207" fontId="155" fillId="0" borderId="0"/>
    <xf numFmtId="207" fontId="155" fillId="0" borderId="0"/>
    <xf numFmtId="207" fontId="155" fillId="0" borderId="0"/>
    <xf numFmtId="206" fontId="13" fillId="0" borderId="0"/>
    <xf numFmtId="206" fontId="13" fillId="0" borderId="0"/>
    <xf numFmtId="206" fontId="13" fillId="0" borderId="0"/>
    <xf numFmtId="207" fontId="155" fillId="0" borderId="0"/>
    <xf numFmtId="207" fontId="155" fillId="0" borderId="0"/>
    <xf numFmtId="207" fontId="155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7" fontId="155" fillId="0" borderId="0"/>
    <xf numFmtId="207" fontId="155" fillId="0" borderId="0"/>
    <xf numFmtId="207" fontId="155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7" fontId="155" fillId="0" borderId="0"/>
    <xf numFmtId="207" fontId="155" fillId="0" borderId="0"/>
    <xf numFmtId="207" fontId="155" fillId="0" borderId="0"/>
    <xf numFmtId="0" fontId="155" fillId="0" borderId="0"/>
    <xf numFmtId="0" fontId="155" fillId="0" borderId="0"/>
    <xf numFmtId="0" fontId="155" fillId="0" borderId="0"/>
    <xf numFmtId="209" fontId="155" fillId="0" borderId="0"/>
    <xf numFmtId="209" fontId="155" fillId="0" borderId="0"/>
    <xf numFmtId="209" fontId="155" fillId="0" borderId="0"/>
    <xf numFmtId="209" fontId="155" fillId="0" borderId="0"/>
    <xf numFmtId="209" fontId="155" fillId="0" borderId="0"/>
    <xf numFmtId="209" fontId="155" fillId="0" borderId="0"/>
    <xf numFmtId="0" fontId="155" fillId="0" borderId="0"/>
    <xf numFmtId="0" fontId="155" fillId="0" borderId="0"/>
    <xf numFmtId="0" fontId="155" fillId="0" borderId="0"/>
    <xf numFmtId="209" fontId="155" fillId="0" borderId="0"/>
    <xf numFmtId="209" fontId="155" fillId="0" borderId="0"/>
    <xf numFmtId="209" fontId="155" fillId="0" borderId="0"/>
    <xf numFmtId="209" fontId="155" fillId="0" borderId="0"/>
    <xf numFmtId="209" fontId="155" fillId="0" borderId="0"/>
    <xf numFmtId="209" fontId="155" fillId="0" borderId="0"/>
    <xf numFmtId="207" fontId="155" fillId="0" borderId="0"/>
    <xf numFmtId="207" fontId="155" fillId="0" borderId="0"/>
    <xf numFmtId="207" fontId="155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10" fontId="13" fillId="0" borderId="0"/>
    <xf numFmtId="210" fontId="13" fillId="0" borderId="0"/>
    <xf numFmtId="210" fontId="13" fillId="0" borderId="0"/>
    <xf numFmtId="0" fontId="155" fillId="0" borderId="0"/>
    <xf numFmtId="0" fontId="155" fillId="0" borderId="0"/>
    <xf numFmtId="0" fontId="155" fillId="0" borderId="0"/>
    <xf numFmtId="209" fontId="155" fillId="0" borderId="0"/>
    <xf numFmtId="209" fontId="155" fillId="0" borderId="0"/>
    <xf numFmtId="209" fontId="155" fillId="0" borderId="0"/>
    <xf numFmtId="209" fontId="155" fillId="0" borderId="0"/>
    <xf numFmtId="209" fontId="155" fillId="0" borderId="0"/>
    <xf numFmtId="209" fontId="155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7" fontId="155" fillId="0" borderId="0"/>
    <xf numFmtId="207" fontId="155" fillId="0" borderId="0"/>
    <xf numFmtId="207" fontId="155" fillId="0" borderId="0"/>
    <xf numFmtId="207" fontId="155" fillId="0" borderId="0"/>
    <xf numFmtId="207" fontId="155" fillId="0" borderId="0"/>
    <xf numFmtId="207" fontId="155" fillId="0" borderId="0"/>
    <xf numFmtId="206" fontId="13" fillId="0" borderId="0"/>
    <xf numFmtId="206" fontId="13" fillId="0" borderId="0"/>
    <xf numFmtId="206" fontId="13" fillId="0" borderId="0"/>
    <xf numFmtId="207" fontId="155" fillId="0" borderId="0"/>
    <xf numFmtId="207" fontId="155" fillId="0" borderId="0"/>
    <xf numFmtId="207" fontId="155" fillId="0" borderId="0"/>
    <xf numFmtId="206" fontId="13" fillId="0" borderId="0"/>
    <xf numFmtId="206" fontId="13" fillId="0" borderId="0"/>
    <xf numFmtId="206" fontId="13" fillId="0" borderId="0"/>
    <xf numFmtId="207" fontId="155" fillId="0" borderId="0"/>
    <xf numFmtId="207" fontId="155" fillId="0" borderId="0"/>
    <xf numFmtId="207" fontId="155" fillId="0" borderId="0"/>
    <xf numFmtId="207" fontId="155" fillId="0" borderId="0"/>
    <xf numFmtId="207" fontId="155" fillId="0" borderId="0"/>
    <xf numFmtId="207" fontId="155" fillId="0" borderId="0"/>
    <xf numFmtId="206" fontId="13" fillId="0" borderId="0"/>
    <xf numFmtId="206" fontId="13" fillId="0" borderId="0"/>
    <xf numFmtId="206" fontId="13" fillId="0" borderId="0"/>
    <xf numFmtId="207" fontId="155" fillId="0" borderId="0"/>
    <xf numFmtId="207" fontId="155" fillId="0" borderId="0"/>
    <xf numFmtId="207" fontId="155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7" fontId="155" fillId="0" borderId="0"/>
    <xf numFmtId="207" fontId="155" fillId="0" borderId="0"/>
    <xf numFmtId="207" fontId="155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7" fontId="155" fillId="0" borderId="0"/>
    <xf numFmtId="207" fontId="155" fillId="0" borderId="0"/>
    <xf numFmtId="207" fontId="155" fillId="0" borderId="0"/>
    <xf numFmtId="0" fontId="155" fillId="0" borderId="0"/>
    <xf numFmtId="0" fontId="155" fillId="0" borderId="0"/>
    <xf numFmtId="0" fontId="155" fillId="0" borderId="0"/>
    <xf numFmtId="209" fontId="155" fillId="0" borderId="0"/>
    <xf numFmtId="209" fontId="155" fillId="0" borderId="0"/>
    <xf numFmtId="209" fontId="155" fillId="0" borderId="0"/>
    <xf numFmtId="209" fontId="155" fillId="0" borderId="0"/>
    <xf numFmtId="209" fontId="155" fillId="0" borderId="0"/>
    <xf numFmtId="209" fontId="155" fillId="0" borderId="0"/>
    <xf numFmtId="0" fontId="155" fillId="0" borderId="0"/>
    <xf numFmtId="0" fontId="155" fillId="0" borderId="0"/>
    <xf numFmtId="0" fontId="155" fillId="0" borderId="0"/>
    <xf numFmtId="209" fontId="155" fillId="0" borderId="0"/>
    <xf numFmtId="209" fontId="155" fillId="0" borderId="0"/>
    <xf numFmtId="209" fontId="155" fillId="0" borderId="0"/>
    <xf numFmtId="209" fontId="155" fillId="0" borderId="0"/>
    <xf numFmtId="209" fontId="155" fillId="0" borderId="0"/>
    <xf numFmtId="209" fontId="155" fillId="0" borderId="0"/>
    <xf numFmtId="207" fontId="155" fillId="0" borderId="0"/>
    <xf numFmtId="207" fontId="155" fillId="0" borderId="0"/>
    <xf numFmtId="207" fontId="155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06" fontId="13" fillId="0" borderId="0"/>
    <xf numFmtId="210" fontId="13" fillId="0" borderId="0"/>
    <xf numFmtId="210" fontId="13" fillId="0" borderId="0"/>
    <xf numFmtId="210" fontId="13" fillId="0" borderId="0"/>
    <xf numFmtId="0" fontId="155" fillId="0" borderId="0"/>
    <xf numFmtId="0" fontId="155" fillId="0" borderId="0"/>
    <xf numFmtId="0" fontId="155" fillId="0" borderId="0"/>
    <xf numFmtId="209" fontId="155" fillId="0" borderId="0"/>
    <xf numFmtId="209" fontId="155" fillId="0" borderId="0"/>
    <xf numFmtId="209" fontId="155" fillId="0" borderId="0"/>
    <xf numFmtId="209" fontId="155" fillId="0" borderId="0"/>
    <xf numFmtId="209" fontId="155" fillId="0" borderId="0"/>
    <xf numFmtId="209" fontId="155" fillId="0" borderId="0"/>
    <xf numFmtId="1" fontId="65" fillId="0" borderId="0" applyProtection="0">
      <alignment horizontal="right" vertical="center"/>
    </xf>
    <xf numFmtId="1" fontId="156" fillId="0" borderId="0" applyProtection="0">
      <alignment horizontal="right" vertical="center"/>
    </xf>
    <xf numFmtId="0" fontId="67" fillId="0" borderId="16" applyNumberFormat="0" applyAlignment="0" applyProtection="0"/>
    <xf numFmtId="0" fontId="67" fillId="0" borderId="16" applyNumberFormat="0" applyAlignment="0" applyProtection="0"/>
    <xf numFmtId="0" fontId="67" fillId="0" borderId="16" applyNumberFormat="0" applyAlignment="0" applyProtection="0"/>
    <xf numFmtId="0" fontId="67" fillId="0" borderId="16" applyNumberFormat="0" applyAlignment="0" applyProtection="0"/>
    <xf numFmtId="0" fontId="67" fillId="0" borderId="16" applyNumberFormat="0" applyAlignment="0" applyProtection="0"/>
    <xf numFmtId="0" fontId="67" fillId="0" borderId="16" applyNumberFormat="0" applyAlignment="0" applyProtection="0"/>
    <xf numFmtId="0" fontId="67" fillId="0" borderId="16" applyNumberFormat="0" applyAlignment="0" applyProtection="0"/>
    <xf numFmtId="0" fontId="67" fillId="0" borderId="16" applyNumberFormat="0" applyAlignment="0" applyProtection="0"/>
    <xf numFmtId="0" fontId="67" fillId="0" borderId="16" applyNumberFormat="0" applyAlignment="0" applyProtection="0"/>
    <xf numFmtId="0" fontId="67" fillId="0" borderId="16" applyNumberFormat="0" applyAlignment="0" applyProtection="0"/>
    <xf numFmtId="9" fontId="13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32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81" fillId="0" borderId="0" applyFont="0" applyFill="0" applyBorder="0" applyAlignment="0" applyProtection="0"/>
    <xf numFmtId="9" fontId="81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81" fillId="0" borderId="0" applyFont="0" applyFill="0" applyBorder="0" applyAlignment="0" applyProtection="0"/>
    <xf numFmtId="9" fontId="81" fillId="0" borderId="0" applyFont="0" applyFill="0" applyBorder="0" applyAlignment="0" applyProtection="0"/>
    <xf numFmtId="9" fontId="81" fillId="0" borderId="0" applyFont="0" applyFill="0" applyBorder="0" applyAlignment="0" applyProtection="0"/>
    <xf numFmtId="9" fontId="81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81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81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211" fontId="13" fillId="0" borderId="0" applyFill="0" applyBorder="0" applyAlignment="0" applyProtection="0"/>
    <xf numFmtId="212" fontId="32" fillId="0" borderId="0" applyFont="0" applyFill="0" applyBorder="0" applyAlignment="0" applyProtection="0"/>
    <xf numFmtId="213" fontId="32" fillId="0" borderId="0" applyFont="0" applyFill="0" applyBorder="0" applyAlignment="0" applyProtection="0"/>
    <xf numFmtId="0" fontId="13" fillId="0" borderId="0">
      <protection locked="0"/>
    </xf>
    <xf numFmtId="214" fontId="32" fillId="0" borderId="0" applyFont="0" applyFill="0" applyBorder="0" applyAlignment="0" applyProtection="0"/>
    <xf numFmtId="0" fontId="129" fillId="0" borderId="0" applyNumberFormat="0" applyFont="0" applyFill="0" applyBorder="0" applyAlignment="0" applyProtection="0">
      <alignment horizontal="left"/>
    </xf>
    <xf numFmtId="15" fontId="129" fillId="0" borderId="0" applyFont="0" applyFill="0" applyBorder="0" applyAlignment="0" applyProtection="0"/>
    <xf numFmtId="4" fontId="129" fillId="0" borderId="0" applyFont="0" applyFill="0" applyBorder="0" applyAlignment="0" applyProtection="0"/>
    <xf numFmtId="0" fontId="35" fillId="0" borderId="37">
      <alignment horizontal="center"/>
    </xf>
    <xf numFmtId="3" fontId="129" fillId="0" borderId="0" applyFont="0" applyFill="0" applyBorder="0" applyAlignment="0" applyProtection="0"/>
    <xf numFmtId="0" fontId="129" fillId="80" borderId="0" applyNumberFormat="0" applyFont="0" applyBorder="0" applyAlignment="0" applyProtection="0"/>
    <xf numFmtId="215" fontId="32" fillId="0" borderId="0">
      <alignment horizontal="right"/>
    </xf>
    <xf numFmtId="164" fontId="32" fillId="0" borderId="0">
      <alignment horizontal="right"/>
    </xf>
    <xf numFmtId="164" fontId="32" fillId="0" borderId="0">
      <alignment horizontal="right"/>
    </xf>
    <xf numFmtId="190" fontId="133" fillId="41" borderId="35">
      <alignment horizontal="center"/>
    </xf>
    <xf numFmtId="0" fontId="135" fillId="0" borderId="0">
      <alignment horizontal="right"/>
    </xf>
    <xf numFmtId="164" fontId="31" fillId="81" borderId="0">
      <alignment horizontal="right"/>
    </xf>
    <xf numFmtId="164" fontId="31" fillId="14" borderId="32">
      <alignment horizontal="left"/>
    </xf>
    <xf numFmtId="164" fontId="31" fillId="14" borderId="8" applyBorder="0">
      <alignment horizontal="right"/>
    </xf>
    <xf numFmtId="164" fontId="31" fillId="81" borderId="37">
      <alignment horizontal="right"/>
    </xf>
    <xf numFmtId="164" fontId="31" fillId="81" borderId="37">
      <alignment horizontal="right"/>
    </xf>
    <xf numFmtId="2" fontId="31" fillId="81" borderId="37">
      <alignment horizontal="right"/>
    </xf>
    <xf numFmtId="2" fontId="31" fillId="81" borderId="37">
      <alignment horizontal="right"/>
    </xf>
    <xf numFmtId="38" fontId="13" fillId="0" borderId="0"/>
    <xf numFmtId="0" fontId="13" fillId="14" borderId="49"/>
    <xf numFmtId="0" fontId="32" fillId="0" borderId="15" applyNumberFormat="0">
      <alignment horizontal="center"/>
    </xf>
    <xf numFmtId="0" fontId="13" fillId="0" borderId="0"/>
    <xf numFmtId="0" fontId="66" fillId="0" borderId="0">
      <alignment horizontal="center"/>
    </xf>
    <xf numFmtId="196" fontId="157" fillId="0" borderId="0">
      <alignment horizontal="center"/>
    </xf>
    <xf numFmtId="0" fontId="13" fillId="0" borderId="0"/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25" fillId="0" borderId="0"/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25" fillId="0" borderId="0"/>
    <xf numFmtId="0" fontId="125" fillId="0" borderId="0"/>
    <xf numFmtId="0" fontId="125" fillId="0" borderId="0"/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3" fillId="0" borderId="0">
      <alignment vertical="top"/>
    </xf>
    <xf numFmtId="0" fontId="16" fillId="82" borderId="0">
      <alignment horizontal="center"/>
    </xf>
    <xf numFmtId="0" fontId="72" fillId="0" borderId="0"/>
    <xf numFmtId="0" fontId="158" fillId="0" borderId="0"/>
    <xf numFmtId="0" fontId="158" fillId="0" borderId="0"/>
    <xf numFmtId="0" fontId="158" fillId="0" borderId="0"/>
    <xf numFmtId="0" fontId="158" fillId="0" borderId="0"/>
    <xf numFmtId="0" fontId="158" fillId="0" borderId="0"/>
    <xf numFmtId="0" fontId="32" fillId="0" borderId="0">
      <alignment horizontal="center"/>
    </xf>
    <xf numFmtId="216" fontId="56" fillId="41" borderId="0" applyBorder="0" applyAlignment="0">
      <alignment horizontal="right"/>
      <protection locked="0"/>
    </xf>
    <xf numFmtId="0" fontId="75" fillId="0" borderId="21" applyBorder="0" applyProtection="0">
      <alignment horizontal="right" vertical="center"/>
    </xf>
    <xf numFmtId="0" fontId="75" fillId="0" borderId="21" applyBorder="0" applyProtection="0">
      <alignment horizontal="right" vertical="center"/>
    </xf>
    <xf numFmtId="0" fontId="75" fillId="0" borderId="21" applyBorder="0" applyProtection="0">
      <alignment horizontal="right" vertical="center"/>
    </xf>
    <xf numFmtId="0" fontId="75" fillId="0" borderId="21" applyBorder="0" applyProtection="0">
      <alignment horizontal="right" vertical="center"/>
    </xf>
    <xf numFmtId="0" fontId="75" fillId="0" borderId="21" applyBorder="0" applyProtection="0">
      <alignment horizontal="right" vertical="center"/>
    </xf>
    <xf numFmtId="0" fontId="75" fillId="0" borderId="21" applyBorder="0" applyProtection="0">
      <alignment horizontal="right" vertical="center"/>
    </xf>
    <xf numFmtId="0" fontId="75" fillId="0" borderId="21" applyBorder="0" applyProtection="0">
      <alignment horizontal="right" vertical="center"/>
    </xf>
    <xf numFmtId="0" fontId="75" fillId="0" borderId="21" applyBorder="0" applyProtection="0">
      <alignment horizontal="right" vertical="center"/>
    </xf>
    <xf numFmtId="0" fontId="75" fillId="0" borderId="21" applyBorder="0" applyProtection="0">
      <alignment horizontal="right" vertical="center"/>
    </xf>
    <xf numFmtId="0" fontId="76" fillId="38" borderId="0" applyBorder="0" applyProtection="0">
      <alignment horizontal="centerContinuous" vertical="center"/>
    </xf>
    <xf numFmtId="0" fontId="159" fillId="38" borderId="0" applyBorder="0" applyProtection="0">
      <alignment horizontal="centerContinuous" vertical="center"/>
    </xf>
    <xf numFmtId="0" fontId="76" fillId="39" borderId="21" applyBorder="0" applyProtection="0">
      <alignment horizontal="centerContinuous" vertical="center"/>
    </xf>
    <xf numFmtId="0" fontId="76" fillId="39" borderId="21" applyBorder="0" applyProtection="0">
      <alignment horizontal="centerContinuous" vertical="center"/>
    </xf>
    <xf numFmtId="0" fontId="76" fillId="39" borderId="21" applyBorder="0" applyProtection="0">
      <alignment horizontal="centerContinuous" vertical="center"/>
    </xf>
    <xf numFmtId="0" fontId="76" fillId="39" borderId="21" applyBorder="0" applyProtection="0">
      <alignment horizontal="centerContinuous" vertical="center"/>
    </xf>
    <xf numFmtId="0" fontId="76" fillId="39" borderId="21" applyBorder="0" applyProtection="0">
      <alignment horizontal="centerContinuous" vertical="center"/>
    </xf>
    <xf numFmtId="0" fontId="76" fillId="39" borderId="21" applyBorder="0" applyProtection="0">
      <alignment horizontal="centerContinuous" vertical="center"/>
    </xf>
    <xf numFmtId="0" fontId="76" fillId="39" borderId="21" applyBorder="0" applyProtection="0">
      <alignment horizontal="centerContinuous" vertical="center"/>
    </xf>
    <xf numFmtId="0" fontId="76" fillId="39" borderId="21" applyBorder="0" applyProtection="0">
      <alignment horizontal="centerContinuous" vertical="center"/>
    </xf>
    <xf numFmtId="0" fontId="76" fillId="39" borderId="21" applyBorder="0" applyProtection="0">
      <alignment horizontal="centerContinuous" vertical="center"/>
    </xf>
    <xf numFmtId="0" fontId="76" fillId="39" borderId="21" applyBorder="0" applyProtection="0">
      <alignment horizontal="centerContinuous" vertical="center"/>
    </xf>
    <xf numFmtId="0" fontId="159" fillId="39" borderId="21" applyBorder="0" applyProtection="0">
      <alignment horizontal="centerContinuous" vertical="center"/>
    </xf>
    <xf numFmtId="0" fontId="159" fillId="39" borderId="21" applyBorder="0" applyProtection="0">
      <alignment horizontal="centerContinuous" vertical="center"/>
    </xf>
    <xf numFmtId="0" fontId="159" fillId="39" borderId="21" applyBorder="0" applyProtection="0">
      <alignment horizontal="centerContinuous" vertical="center"/>
    </xf>
    <xf numFmtId="0" fontId="159" fillId="39" borderId="21" applyBorder="0" applyProtection="0">
      <alignment horizontal="centerContinuous" vertical="center"/>
    </xf>
    <xf numFmtId="0" fontId="159" fillId="39" borderId="21" applyBorder="0" applyProtection="0">
      <alignment horizontal="centerContinuous" vertical="center"/>
    </xf>
    <xf numFmtId="0" fontId="159" fillId="39" borderId="21" applyBorder="0" applyProtection="0">
      <alignment horizontal="centerContinuous" vertical="center"/>
    </xf>
    <xf numFmtId="0" fontId="159" fillId="39" borderId="21" applyBorder="0" applyProtection="0">
      <alignment horizontal="centerContinuous" vertical="center"/>
    </xf>
    <xf numFmtId="0" fontId="159" fillId="39" borderId="21" applyBorder="0" applyProtection="0">
      <alignment horizontal="centerContinuous" vertical="center"/>
    </xf>
    <xf numFmtId="0" fontId="159" fillId="39" borderId="21" applyBorder="0" applyProtection="0">
      <alignment horizontal="centerContinuous" vertical="center"/>
    </xf>
    <xf numFmtId="0" fontId="159" fillId="39" borderId="21" applyBorder="0" applyProtection="0">
      <alignment horizontal="centerContinuous" vertical="center"/>
    </xf>
    <xf numFmtId="0" fontId="13" fillId="0" borderId="0" applyBorder="0" applyProtection="0">
      <alignment vertical="center"/>
    </xf>
    <xf numFmtId="0" fontId="43" fillId="0" borderId="0" applyBorder="0" applyProtection="0">
      <alignment horizontal="left"/>
    </xf>
    <xf numFmtId="0" fontId="32" fillId="0" borderId="13" applyFill="0" applyBorder="0" applyProtection="0">
      <alignment horizontal="left" vertical="top"/>
    </xf>
    <xf numFmtId="217" fontId="32" fillId="0" borderId="0" applyFont="0" applyFill="0" applyBorder="0" applyAlignment="0" applyProtection="0"/>
    <xf numFmtId="0" fontId="109" fillId="0" borderId="0" applyNumberFormat="0" applyFill="0" applyBorder="0" applyAlignment="0" applyProtection="0"/>
    <xf numFmtId="0" fontId="160" fillId="0" borderId="0" applyNumberFormat="0" applyFill="0" applyBorder="0" applyAlignment="0" applyProtection="0"/>
    <xf numFmtId="0" fontId="161" fillId="0" borderId="0" applyNumberFormat="0" applyFill="0" applyBorder="0" applyAlignment="0" applyProtection="0"/>
    <xf numFmtId="0" fontId="110" fillId="0" borderId="31" applyNumberFormat="0" applyFill="0" applyAlignment="0" applyProtection="0"/>
    <xf numFmtId="0" fontId="110" fillId="0" borderId="31" applyNumberFormat="0" applyFill="0" applyAlignment="0" applyProtection="0"/>
    <xf numFmtId="0" fontId="123" fillId="0" borderId="50" applyNumberFormat="0" applyFill="0" applyAlignment="0" applyProtection="0"/>
    <xf numFmtId="0" fontId="107" fillId="63" borderId="30" applyNumberFormat="0" applyAlignment="0" applyProtection="0"/>
    <xf numFmtId="0" fontId="107" fillId="63" borderId="30" applyNumberFormat="0" applyAlignment="0" applyProtection="0"/>
    <xf numFmtId="0" fontId="32" fillId="31" borderId="0"/>
    <xf numFmtId="0" fontId="91" fillId="0" borderId="0" applyNumberFormat="0" applyFill="0" applyBorder="0" applyAlignment="0" applyProtection="0"/>
    <xf numFmtId="0" fontId="112" fillId="0" borderId="0" applyNumberFormat="0" applyFill="0" applyBorder="0" applyAlignment="0" applyProtection="0"/>
    <xf numFmtId="0" fontId="150" fillId="0" borderId="0" applyNumberFormat="0" applyFill="0" applyBorder="0" applyAlignment="0" applyProtection="0"/>
    <xf numFmtId="218" fontId="32" fillId="0" borderId="0" applyFont="0" applyFill="0" applyBorder="0" applyAlignment="0" applyProtection="0"/>
    <xf numFmtId="0" fontId="79" fillId="43" borderId="10" applyNumberFormat="0" applyFont="0" applyBorder="0" applyAlignment="0" applyProtection="0">
      <alignment horizontal="centerContinuous"/>
      <protection hidden="1"/>
    </xf>
    <xf numFmtId="166" fontId="129" fillId="0" borderId="0" applyFont="0" applyFill="0" applyBorder="0" applyAlignment="0" applyProtection="0"/>
    <xf numFmtId="41" fontId="13" fillId="0" borderId="0" applyFont="0" applyFill="0" applyBorder="0" applyAlignment="0" applyProtection="0"/>
    <xf numFmtId="179" fontId="13" fillId="0" borderId="0" applyFont="0" applyFill="0" applyBorder="0" applyAlignment="0" applyProtection="0"/>
    <xf numFmtId="0" fontId="67" fillId="0" borderId="0"/>
    <xf numFmtId="0" fontId="162" fillId="0" borderId="0"/>
    <xf numFmtId="0" fontId="11" fillId="0" borderId="0"/>
    <xf numFmtId="0" fontId="11" fillId="0" borderId="0"/>
    <xf numFmtId="0" fontId="11" fillId="0" borderId="0"/>
    <xf numFmtId="9" fontId="162" fillId="0" borderId="0" applyFont="0" applyFill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2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70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51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69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0" fillId="47" borderId="0" applyNumberFormat="0" applyBorder="0" applyAlignment="0" applyProtection="0"/>
    <xf numFmtId="0" fontId="124" fillId="70" borderId="0" applyNumberFormat="0" applyBorder="0" applyAlignment="0" applyProtection="0"/>
    <xf numFmtId="0" fontId="124" fillId="70" borderId="0" applyNumberFormat="0" applyBorder="0" applyAlignment="0" applyProtection="0"/>
    <xf numFmtId="0" fontId="124" fillId="51" borderId="0" applyNumberFormat="0" applyBorder="0" applyAlignment="0" applyProtection="0"/>
    <xf numFmtId="0" fontId="124" fillId="55" borderId="0" applyNumberFormat="0" applyBorder="0" applyAlignment="0" applyProtection="0"/>
    <xf numFmtId="0" fontId="124" fillId="47" borderId="0" applyNumberFormat="0" applyBorder="0" applyAlignment="0" applyProtection="0"/>
    <xf numFmtId="0" fontId="124" fillId="52" borderId="0" applyNumberFormat="0" applyBorder="0" applyAlignment="0" applyProtection="0"/>
    <xf numFmtId="0" fontId="124" fillId="71" borderId="0" applyNumberFormat="0" applyBorder="0" applyAlignment="0" applyProtection="0"/>
    <xf numFmtId="0" fontId="124" fillId="72" borderId="0" applyNumberFormat="0" applyBorder="0" applyAlignment="0" applyProtection="0"/>
    <xf numFmtId="0" fontId="124" fillId="62" borderId="0" applyNumberFormat="0" applyBorder="0" applyAlignment="0" applyProtection="0"/>
    <xf numFmtId="0" fontId="124" fillId="73" borderId="0" applyNumberFormat="0" applyBorder="0" applyAlignment="0" applyProtection="0"/>
    <xf numFmtId="0" fontId="124" fillId="74" borderId="0" applyNumberFormat="0" applyBorder="0" applyAlignment="0" applyProtection="0"/>
    <xf numFmtId="0" fontId="127" fillId="67" borderId="0" applyNumberFormat="0" applyBorder="0" applyAlignment="0" applyProtection="0"/>
    <xf numFmtId="0" fontId="163" fillId="75" borderId="42" applyNumberFormat="0" applyAlignment="0" applyProtection="0"/>
    <xf numFmtId="0" fontId="122" fillId="76" borderId="43" applyNumberFormat="0" applyAlignment="0" applyProtection="0"/>
    <xf numFmtId="0" fontId="164" fillId="0" borderId="0" applyNumberFormat="0" applyFill="0" applyBorder="0" applyAlignment="0" applyProtection="0"/>
    <xf numFmtId="0" fontId="165" fillId="78" borderId="0" applyNumberFormat="0" applyBorder="0" applyAlignment="0" applyProtection="0"/>
    <xf numFmtId="0" fontId="166" fillId="0" borderId="45" applyNumberFormat="0" applyFill="0" applyAlignment="0" applyProtection="0"/>
    <xf numFmtId="0" fontId="167" fillId="0" borderId="46" applyNumberFormat="0" applyFill="0" applyAlignment="0" applyProtection="0"/>
    <xf numFmtId="0" fontId="144" fillId="0" borderId="40" applyNumberFormat="0" applyFill="0" applyAlignment="0" applyProtection="0"/>
    <xf numFmtId="0" fontId="168" fillId="0" borderId="0" applyNumberFormat="0" applyFill="0" applyBorder="0" applyAlignment="0" applyProtection="0"/>
    <xf numFmtId="0" fontId="145" fillId="47" borderId="42" applyNumberFormat="0" applyAlignment="0" applyProtection="0"/>
    <xf numFmtId="0" fontId="145" fillId="47" borderId="42" applyNumberFormat="0" applyAlignment="0" applyProtection="0"/>
    <xf numFmtId="0" fontId="93" fillId="0" borderId="47" applyNumberFormat="0" applyFill="0" applyAlignment="0" applyProtection="0"/>
    <xf numFmtId="0" fontId="169" fillId="47" borderId="0" applyNumberFormat="0" applyBorder="0" applyAlignment="0" applyProtection="0"/>
    <xf numFmtId="0" fontId="13" fillId="0" borderId="0"/>
    <xf numFmtId="0" fontId="170" fillId="75" borderId="48" applyNumberFormat="0" applyAlignment="0" applyProtection="0"/>
    <xf numFmtId="0" fontId="160" fillId="0" borderId="0" applyNumberFormat="0" applyFill="0" applyBorder="0" applyAlignment="0" applyProtection="0"/>
    <xf numFmtId="0" fontId="123" fillId="0" borderId="50" applyNumberFormat="0" applyFill="0" applyAlignment="0" applyProtection="0"/>
    <xf numFmtId="0" fontId="93" fillId="0" borderId="0" applyNumberForma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37" fontId="17" fillId="0" borderId="0"/>
    <xf numFmtId="0" fontId="2" fillId="0" borderId="0"/>
    <xf numFmtId="166" fontId="13" fillId="0" borderId="0" applyFont="0" applyFill="0" applyBorder="0" applyAlignment="0" applyProtection="0"/>
    <xf numFmtId="166" fontId="13" fillId="0" borderId="0" applyFont="0" applyFill="0" applyBorder="0" applyAlignment="0" applyProtection="0"/>
    <xf numFmtId="0" fontId="1" fillId="0" borderId="0"/>
  </cellStyleXfs>
  <cellXfs count="212">
    <xf numFmtId="0" fontId="0" fillId="0" borderId="0" xfId="0"/>
    <xf numFmtId="0" fontId="14" fillId="0" borderId="0" xfId="0" applyFont="1"/>
    <xf numFmtId="0" fontId="17" fillId="0" borderId="0" xfId="0" applyFont="1" applyFill="1" applyBorder="1"/>
    <xf numFmtId="0" fontId="17" fillId="0" borderId="0" xfId="0" applyFont="1"/>
    <xf numFmtId="0" fontId="18" fillId="0" borderId="0" xfId="0" applyFont="1"/>
    <xf numFmtId="164" fontId="18" fillId="0" borderId="0" xfId="0" applyNumberFormat="1" applyFont="1"/>
    <xf numFmtId="0" fontId="17" fillId="0" borderId="0" xfId="0" applyFont="1" applyFill="1"/>
    <xf numFmtId="0" fontId="16" fillId="0" borderId="0" xfId="0" applyFont="1"/>
    <xf numFmtId="0" fontId="16" fillId="0" borderId="3" xfId="0" applyFont="1" applyBorder="1" applyAlignment="1">
      <alignment horizontal="right"/>
    </xf>
    <xf numFmtId="0" fontId="17" fillId="3" borderId="0" xfId="0" applyFont="1" applyFill="1"/>
    <xf numFmtId="1" fontId="17" fillId="0" borderId="0" xfId="0" applyNumberFormat="1" applyFont="1" applyFill="1"/>
    <xf numFmtId="0" fontId="17" fillId="4" borderId="0" xfId="0" applyFont="1" applyFill="1"/>
    <xf numFmtId="165" fontId="17" fillId="0" borderId="0" xfId="0" quotePrefix="1" applyNumberFormat="1" applyFont="1" applyFill="1" applyAlignment="1">
      <alignment horizontal="right"/>
    </xf>
    <xf numFmtId="165" fontId="17" fillId="0" borderId="0" xfId="0" applyNumberFormat="1" applyFont="1" applyFill="1" applyAlignment="1">
      <alignment horizontal="right"/>
    </xf>
    <xf numFmtId="165" fontId="16" fillId="0" borderId="3" xfId="0" applyNumberFormat="1" applyFont="1" applyFill="1" applyBorder="1" applyAlignment="1">
      <alignment horizontal="right"/>
    </xf>
    <xf numFmtId="0" fontId="18" fillId="0" borderId="0" xfId="0" applyFont="1" applyFill="1"/>
    <xf numFmtId="165" fontId="17" fillId="0" borderId="0" xfId="0" applyNumberFormat="1" applyFont="1" applyFill="1" applyBorder="1" applyAlignment="1">
      <alignment horizontal="right"/>
    </xf>
    <xf numFmtId="165" fontId="16" fillId="0" borderId="0" xfId="0" applyNumberFormat="1" applyFont="1" applyFill="1" applyBorder="1" applyAlignment="1">
      <alignment horizontal="right"/>
    </xf>
    <xf numFmtId="0" fontId="17" fillId="0" borderId="0" xfId="0" quotePrefix="1" applyFont="1" applyFill="1" applyAlignment="1">
      <alignment horizontal="right"/>
    </xf>
    <xf numFmtId="0" fontId="17" fillId="0" borderId="0" xfId="0" applyFont="1" applyFill="1" applyAlignment="1">
      <alignment horizontal="right"/>
    </xf>
    <xf numFmtId="0" fontId="17" fillId="0" borderId="0" xfId="51" applyFont="1" applyFill="1" applyBorder="1"/>
    <xf numFmtId="1" fontId="16" fillId="4" borderId="0" xfId="0" applyNumberFormat="1" applyFont="1" applyFill="1" applyAlignment="1">
      <alignment horizontal="center"/>
    </xf>
    <xf numFmtId="1" fontId="80" fillId="0" borderId="0" xfId="52" applyNumberFormat="1" applyFont="1" applyFill="1" applyBorder="1" applyAlignment="1">
      <alignment horizontal="center"/>
    </xf>
    <xf numFmtId="0" fontId="114" fillId="0" borderId="0" xfId="43" applyFont="1"/>
    <xf numFmtId="0" fontId="114" fillId="0" borderId="0" xfId="43" applyFont="1" applyAlignment="1">
      <alignment horizontal="left"/>
    </xf>
    <xf numFmtId="0" fontId="17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1" fontId="16" fillId="0" borderId="0" xfId="0" applyNumberFormat="1" applyFont="1" applyFill="1" applyAlignment="1">
      <alignment horizontal="right"/>
    </xf>
    <xf numFmtId="0" fontId="116" fillId="0" borderId="0" xfId="0" applyFont="1"/>
    <xf numFmtId="1" fontId="16" fillId="0" borderId="0" xfId="0" applyNumberFormat="1" applyFont="1"/>
    <xf numFmtId="1" fontId="16" fillId="0" borderId="0" xfId="0" applyNumberFormat="1" applyFont="1" applyAlignment="1">
      <alignment horizontal="right"/>
    </xf>
    <xf numFmtId="0" fontId="117" fillId="0" borderId="0" xfId="0" applyFont="1" applyAlignment="1">
      <alignment horizontal="left"/>
    </xf>
    <xf numFmtId="0" fontId="118" fillId="0" borderId="0" xfId="0" applyFont="1" applyFill="1" applyBorder="1" applyAlignment="1">
      <alignment horizontal="left"/>
    </xf>
    <xf numFmtId="0" fontId="114" fillId="0" borderId="0" xfId="0" applyFont="1"/>
    <xf numFmtId="0" fontId="115" fillId="0" borderId="0" xfId="43" applyFont="1" applyFill="1" applyAlignment="1">
      <alignment horizontal="center"/>
    </xf>
    <xf numFmtId="2" fontId="114" fillId="0" borderId="0" xfId="43" applyNumberFormat="1" applyFont="1" applyFill="1"/>
    <xf numFmtId="0" fontId="114" fillId="0" borderId="0" xfId="43" applyNumberFormat="1" applyFont="1" applyFill="1"/>
    <xf numFmtId="0" fontId="114" fillId="0" borderId="0" xfId="43" applyFont="1" applyFill="1"/>
    <xf numFmtId="0" fontId="17" fillId="0" borderId="32" xfId="0" applyFont="1" applyFill="1" applyBorder="1"/>
    <xf numFmtId="0" fontId="66" fillId="0" borderId="32" xfId="0" applyFont="1" applyFill="1" applyBorder="1" applyAlignment="1">
      <alignment horizontal="center"/>
    </xf>
    <xf numFmtId="0" fontId="66" fillId="0" borderId="8" xfId="0" applyFont="1" applyFill="1" applyBorder="1" applyAlignment="1">
      <alignment horizontal="center"/>
    </xf>
    <xf numFmtId="0" fontId="66" fillId="0" borderId="33" xfId="0" applyFont="1" applyFill="1" applyBorder="1" applyAlignment="1">
      <alignment horizontal="center"/>
    </xf>
    <xf numFmtId="0" fontId="17" fillId="0" borderId="34" xfId="0" applyFont="1" applyFill="1" applyBorder="1"/>
    <xf numFmtId="190" fontId="17" fillId="0" borderId="0" xfId="0" applyNumberFormat="1" applyFont="1" applyFill="1" applyBorder="1"/>
    <xf numFmtId="0" fontId="17" fillId="0" borderId="0" xfId="0" applyFont="1" applyFill="1" applyBorder="1" applyAlignment="1">
      <alignment horizontal="center"/>
    </xf>
    <xf numFmtId="1" fontId="17" fillId="0" borderId="0" xfId="0" applyNumberFormat="1" applyFont="1" applyFill="1" applyBorder="1" applyAlignment="1">
      <alignment horizontal="center"/>
    </xf>
    <xf numFmtId="1" fontId="17" fillId="0" borderId="35" xfId="0" applyNumberFormat="1" applyFont="1" applyFill="1" applyBorder="1" applyAlignment="1">
      <alignment horizontal="center"/>
    </xf>
    <xf numFmtId="0" fontId="17" fillId="0" borderId="36" xfId="0" applyFont="1" applyFill="1" applyBorder="1"/>
    <xf numFmtId="190" fontId="17" fillId="0" borderId="37" xfId="0" applyNumberFormat="1" applyFont="1" applyFill="1" applyBorder="1"/>
    <xf numFmtId="0" fontId="17" fillId="0" borderId="37" xfId="0" applyFont="1" applyFill="1" applyBorder="1" applyAlignment="1">
      <alignment horizontal="center"/>
    </xf>
    <xf numFmtId="1" fontId="17" fillId="0" borderId="37" xfId="0" applyNumberFormat="1" applyFont="1" applyFill="1" applyBorder="1" applyAlignment="1">
      <alignment horizontal="center"/>
    </xf>
    <xf numFmtId="1" fontId="17" fillId="0" borderId="38" xfId="0" applyNumberFormat="1" applyFont="1" applyFill="1" applyBorder="1" applyAlignment="1">
      <alignment horizontal="center"/>
    </xf>
    <xf numFmtId="0" fontId="119" fillId="0" borderId="0" xfId="0" applyFont="1" applyFill="1"/>
    <xf numFmtId="0" fontId="16" fillId="0" borderId="8" xfId="0" applyFont="1" applyFill="1" applyBorder="1" applyAlignment="1">
      <alignment horizontal="center"/>
    </xf>
    <xf numFmtId="0" fontId="16" fillId="0" borderId="33" xfId="0" applyFont="1" applyFill="1" applyBorder="1" applyAlignment="1">
      <alignment horizontal="center"/>
    </xf>
    <xf numFmtId="0" fontId="120" fillId="0" borderId="0" xfId="0" applyFont="1" applyFill="1"/>
    <xf numFmtId="2" fontId="17" fillId="0" borderId="0" xfId="0" applyNumberFormat="1" applyFont="1" applyFill="1" applyBorder="1"/>
    <xf numFmtId="1" fontId="17" fillId="0" borderId="35" xfId="0" applyNumberFormat="1" applyFont="1" applyFill="1" applyBorder="1"/>
    <xf numFmtId="2" fontId="17" fillId="0" borderId="37" xfId="0" applyNumberFormat="1" applyFont="1" applyFill="1" applyBorder="1"/>
    <xf numFmtId="1" fontId="17" fillId="0" borderId="38" xfId="0" applyNumberFormat="1" applyFont="1" applyFill="1" applyBorder="1"/>
    <xf numFmtId="2" fontId="17" fillId="66" borderId="0" xfId="0" applyNumberFormat="1" applyFont="1" applyFill="1"/>
    <xf numFmtId="165" fontId="17" fillId="66" borderId="0" xfId="0" applyNumberFormat="1" applyFont="1" applyFill="1"/>
    <xf numFmtId="0" fontId="114" fillId="0" borderId="0" xfId="43" applyFont="1" applyFill="1" applyAlignment="1">
      <alignment horizontal="left"/>
    </xf>
    <xf numFmtId="1" fontId="114" fillId="0" borderId="0" xfId="43" applyNumberFormat="1" applyFont="1" applyFill="1"/>
    <xf numFmtId="14" fontId="17" fillId="0" borderId="0" xfId="0" applyNumberFormat="1" applyFont="1"/>
    <xf numFmtId="15" fontId="119" fillId="0" borderId="0" xfId="0" applyNumberFormat="1" applyFont="1"/>
    <xf numFmtId="0" fontId="121" fillId="0" borderId="0" xfId="0" applyFont="1"/>
    <xf numFmtId="1" fontId="80" fillId="0" borderId="0" xfId="442" applyNumberFormat="1" applyFont="1" applyFill="1" applyBorder="1" applyAlignment="1">
      <alignment horizontal="center"/>
    </xf>
    <xf numFmtId="0" fontId="18" fillId="0" borderId="0" xfId="0" applyFont="1" applyFill="1" applyBorder="1"/>
    <xf numFmtId="0" fontId="0" fillId="0" borderId="0" xfId="0" applyFill="1" applyBorder="1"/>
    <xf numFmtId="1" fontId="16" fillId="0" borderId="0" xfId="0" applyNumberFormat="1" applyFont="1" applyFill="1" applyBorder="1" applyAlignment="1">
      <alignment horizontal="center"/>
    </xf>
    <xf numFmtId="1" fontId="16" fillId="83" borderId="0" xfId="0" applyNumberFormat="1" applyFont="1" applyFill="1"/>
    <xf numFmtId="1" fontId="16" fillId="0" borderId="0" xfId="0" applyNumberFormat="1" applyFont="1" applyFill="1" applyAlignment="1">
      <alignment horizontal="center"/>
    </xf>
    <xf numFmtId="1" fontId="17" fillId="0" borderId="0" xfId="0" applyNumberFormat="1" applyFont="1"/>
    <xf numFmtId="2" fontId="17" fillId="84" borderId="0" xfId="0" applyNumberFormat="1" applyFont="1" applyFill="1" applyBorder="1" applyAlignment="1">
      <alignment horizontal="center"/>
    </xf>
    <xf numFmtId="2" fontId="17" fillId="84" borderId="37" xfId="0" applyNumberFormat="1" applyFont="1" applyFill="1" applyBorder="1" applyAlignment="1">
      <alignment horizontal="center"/>
    </xf>
    <xf numFmtId="1" fontId="17" fillId="0" borderId="0" xfId="0" applyNumberFormat="1" applyFont="1" applyFill="1" applyAlignment="1">
      <alignment horizontal="right"/>
    </xf>
    <xf numFmtId="219" fontId="16" fillId="85" borderId="0" xfId="2153" applyNumberFormat="1" applyFont="1" applyFill="1" applyBorder="1" applyAlignment="1">
      <alignment horizontal="center"/>
    </xf>
    <xf numFmtId="40" fontId="17" fillId="0" borderId="0" xfId="2153" applyNumberFormat="1" applyFont="1" applyFill="1" applyBorder="1" applyAlignment="1">
      <alignment horizontal="center"/>
    </xf>
    <xf numFmtId="220" fontId="17" fillId="0" borderId="0" xfId="2153" applyNumberFormat="1" applyFont="1" applyFill="1" applyBorder="1" applyAlignment="1">
      <alignment horizontal="center"/>
    </xf>
    <xf numFmtId="220" fontId="16" fillId="85" borderId="0" xfId="2153" applyNumberFormat="1" applyFont="1" applyFill="1" applyBorder="1" applyAlignment="1">
      <alignment horizontal="center"/>
    </xf>
    <xf numFmtId="223" fontId="17" fillId="0" borderId="0" xfId="3676" applyNumberFormat="1" applyFont="1" applyFill="1" applyBorder="1" applyAlignment="1">
      <alignment horizontal="center"/>
    </xf>
    <xf numFmtId="37" fontId="17" fillId="0" borderId="0" xfId="3676" applyFont="1" applyFill="1" applyBorder="1" applyAlignment="1">
      <alignment horizontal="center" vertical="center"/>
    </xf>
    <xf numFmtId="190" fontId="17" fillId="0" borderId="0" xfId="766" applyNumberFormat="1" applyFont="1" applyFill="1" applyBorder="1" applyAlignment="1">
      <alignment horizontal="center" vertical="center"/>
    </xf>
    <xf numFmtId="224" fontId="17" fillId="0" borderId="0" xfId="3676" applyNumberFormat="1" applyFont="1" applyFill="1" applyBorder="1" applyAlignment="1">
      <alignment horizontal="center" vertical="center"/>
    </xf>
    <xf numFmtId="190" fontId="17" fillId="0" borderId="0" xfId="3676" applyNumberFormat="1" applyFont="1" applyFill="1" applyBorder="1" applyAlignment="1">
      <alignment horizontal="center" vertical="center"/>
    </xf>
    <xf numFmtId="225" fontId="17" fillId="0" borderId="0" xfId="3676" applyNumberFormat="1" applyFont="1" applyFill="1" applyBorder="1" applyAlignment="1">
      <alignment horizontal="center" vertical="center"/>
    </xf>
    <xf numFmtId="165" fontId="17" fillId="0" borderId="0" xfId="3676" applyNumberFormat="1" applyFont="1" applyFill="1" applyBorder="1" applyAlignment="1">
      <alignment horizontal="center" vertical="center"/>
    </xf>
    <xf numFmtId="229" fontId="13" fillId="0" borderId="0" xfId="3678" applyNumberFormat="1" applyFill="1" applyBorder="1" applyAlignment="1">
      <alignment horizontal="right" wrapText="1"/>
    </xf>
    <xf numFmtId="229" fontId="13" fillId="0" borderId="0" xfId="3679" applyNumberFormat="1" applyFont="1" applyFill="1" applyBorder="1" applyAlignment="1">
      <alignment horizontal="right" wrapText="1"/>
    </xf>
    <xf numFmtId="0" fontId="17" fillId="0" borderId="0" xfId="52" applyFont="1" applyFill="1" applyBorder="1"/>
    <xf numFmtId="14" fontId="17" fillId="0" borderId="0" xfId="52" applyNumberFormat="1" applyFont="1" applyBorder="1"/>
    <xf numFmtId="0" fontId="17" fillId="0" borderId="36" xfId="52" applyFont="1" applyFill="1" applyBorder="1"/>
    <xf numFmtId="0" fontId="16" fillId="0" borderId="37" xfId="52" applyFont="1" applyFill="1" applyBorder="1" applyAlignment="1">
      <alignment horizontal="center"/>
    </xf>
    <xf numFmtId="0" fontId="16" fillId="0" borderId="38" xfId="52" applyFont="1" applyFill="1" applyBorder="1" applyAlignment="1">
      <alignment horizontal="center"/>
    </xf>
    <xf numFmtId="0" fontId="16" fillId="0" borderId="0" xfId="52" applyFont="1" applyFill="1" applyBorder="1"/>
    <xf numFmtId="0" fontId="17" fillId="0" borderId="34" xfId="52" applyFont="1" applyFill="1" applyBorder="1"/>
    <xf numFmtId="15" fontId="17" fillId="0" borderId="0" xfId="52" applyNumberFormat="1" applyFont="1" applyFill="1" applyBorder="1" applyAlignment="1">
      <alignment horizontal="center"/>
    </xf>
    <xf numFmtId="15" fontId="17" fillId="0" borderId="35" xfId="52" applyNumberFormat="1" applyFont="1" applyFill="1" applyBorder="1" applyAlignment="1">
      <alignment horizontal="center"/>
    </xf>
    <xf numFmtId="0" fontId="17" fillId="0" borderId="34" xfId="52" applyFont="1" applyFill="1" applyBorder="1" applyAlignment="1">
      <alignment wrapText="1"/>
    </xf>
    <xf numFmtId="15" fontId="17" fillId="0" borderId="0" xfId="52" applyNumberFormat="1" applyFont="1" applyFill="1" applyBorder="1" applyAlignment="1">
      <alignment horizontal="center" vertical="center"/>
    </xf>
    <xf numFmtId="15" fontId="17" fillId="0" borderId="35" xfId="52" applyNumberFormat="1" applyFont="1" applyFill="1" applyBorder="1" applyAlignment="1">
      <alignment horizontal="center" vertical="center"/>
    </xf>
    <xf numFmtId="227" fontId="17" fillId="0" borderId="0" xfId="52" applyNumberFormat="1" applyFont="1" applyFill="1" applyBorder="1" applyAlignment="1">
      <alignment horizontal="center"/>
    </xf>
    <xf numFmtId="227" fontId="17" fillId="0" borderId="35" xfId="52" applyNumberFormat="1" applyFont="1" applyFill="1" applyBorder="1" applyAlignment="1">
      <alignment horizontal="center"/>
    </xf>
    <xf numFmtId="1" fontId="174" fillId="0" borderId="0" xfId="52" applyNumberFormat="1" applyFont="1" applyFill="1" applyBorder="1" applyAlignment="1">
      <alignment horizontal="center"/>
    </xf>
    <xf numFmtId="1" fontId="174" fillId="0" borderId="35" xfId="52" applyNumberFormat="1" applyFont="1" applyFill="1" applyBorder="1" applyAlignment="1">
      <alignment horizontal="center"/>
    </xf>
    <xf numFmtId="227" fontId="17" fillId="0" borderId="0" xfId="52" applyNumberFormat="1" applyFont="1" applyFill="1" applyBorder="1"/>
    <xf numFmtId="227" fontId="17" fillId="0" borderId="0" xfId="52" applyNumberFormat="1" applyFont="1"/>
    <xf numFmtId="232" fontId="17" fillId="0" borderId="0" xfId="52" applyNumberFormat="1" applyFont="1" applyFill="1" applyBorder="1" applyAlignment="1">
      <alignment horizontal="center" vertical="center"/>
    </xf>
    <xf numFmtId="233" fontId="17" fillId="0" borderId="0" xfId="52" applyNumberFormat="1" applyFont="1" applyFill="1" applyBorder="1" applyAlignment="1">
      <alignment horizontal="center" vertical="center"/>
    </xf>
    <xf numFmtId="232" fontId="17" fillId="0" borderId="35" xfId="52" applyNumberFormat="1" applyFont="1" applyFill="1" applyBorder="1" applyAlignment="1">
      <alignment horizontal="center" vertical="center"/>
    </xf>
    <xf numFmtId="0" fontId="17" fillId="0" borderId="0" xfId="52" applyFont="1" applyFill="1" applyBorder="1" applyAlignment="1">
      <alignment horizontal="center"/>
    </xf>
    <xf numFmtId="0" fontId="17" fillId="0" borderId="35" xfId="52" applyFont="1" applyFill="1" applyBorder="1" applyAlignment="1">
      <alignment horizontal="center"/>
    </xf>
    <xf numFmtId="165" fontId="17" fillId="0" borderId="0" xfId="52" applyNumberFormat="1" applyFont="1" applyFill="1" applyBorder="1" applyAlignment="1">
      <alignment horizontal="center"/>
    </xf>
    <xf numFmtId="165" fontId="17" fillId="0" borderId="35" xfId="52" applyNumberFormat="1" applyFont="1" applyFill="1" applyBorder="1" applyAlignment="1">
      <alignment horizontal="center"/>
    </xf>
    <xf numFmtId="165" fontId="17" fillId="0" borderId="37" xfId="52" applyNumberFormat="1" applyFont="1" applyFill="1" applyBorder="1" applyAlignment="1">
      <alignment horizontal="center"/>
    </xf>
    <xf numFmtId="165" fontId="17" fillId="0" borderId="38" xfId="52" applyNumberFormat="1" applyFont="1" applyFill="1" applyBorder="1" applyAlignment="1">
      <alignment horizontal="center"/>
    </xf>
    <xf numFmtId="0" fontId="13" fillId="0" borderId="0" xfId="53" applyFont="1" applyFill="1" applyBorder="1"/>
    <xf numFmtId="1" fontId="80" fillId="0" borderId="0" xfId="3676" applyNumberFormat="1" applyFont="1" applyFill="1" applyBorder="1" applyAlignment="1">
      <alignment horizontal="center" vertical="center"/>
    </xf>
    <xf numFmtId="1" fontId="80" fillId="0" borderId="35" xfId="52" applyNumberFormat="1" applyFont="1" applyFill="1" applyBorder="1" applyAlignment="1">
      <alignment horizontal="center"/>
    </xf>
    <xf numFmtId="228" fontId="13" fillId="0" borderId="0" xfId="3676" applyNumberFormat="1" applyFont="1" applyFill="1" applyBorder="1" applyAlignment="1">
      <alignment horizontal="center" vertical="center"/>
    </xf>
    <xf numFmtId="37" fontId="13" fillId="0" borderId="0" xfId="3676" applyFont="1" applyFill="1" applyBorder="1" applyAlignment="1">
      <alignment horizontal="center" vertical="center"/>
    </xf>
    <xf numFmtId="234" fontId="13" fillId="0" borderId="0" xfId="3676" applyNumberFormat="1" applyFont="1" applyFill="1" applyBorder="1" applyAlignment="1">
      <alignment horizontal="center" vertical="center"/>
    </xf>
    <xf numFmtId="17" fontId="13" fillId="0" borderId="0" xfId="3676" applyNumberFormat="1" applyFont="1" applyFill="1" applyBorder="1" applyAlignment="1">
      <alignment horizontal="center" vertical="center"/>
    </xf>
    <xf numFmtId="227" fontId="13" fillId="0" borderId="0" xfId="452" applyNumberFormat="1" applyFont="1" applyFill="1" applyBorder="1" applyAlignment="1">
      <alignment horizontal="center" vertical="center"/>
    </xf>
    <xf numFmtId="235" fontId="13" fillId="0" borderId="0" xfId="3676" quotePrefix="1" applyNumberFormat="1" applyFont="1" applyFill="1" applyBorder="1" applyAlignment="1">
      <alignment horizontal="center" vertical="center"/>
    </xf>
    <xf numFmtId="2" fontId="13" fillId="0" borderId="0" xfId="452" applyNumberFormat="1" applyFont="1" applyFill="1" applyBorder="1" applyAlignment="1">
      <alignment horizontal="center" vertical="center"/>
    </xf>
    <xf numFmtId="227" fontId="13" fillId="0" borderId="0" xfId="3676" applyNumberFormat="1" applyFont="1" applyFill="1" applyBorder="1" applyAlignment="1">
      <alignment horizontal="center" vertical="center"/>
    </xf>
    <xf numFmtId="236" fontId="17" fillId="0" borderId="0" xfId="3676" quotePrefix="1" applyNumberFormat="1" applyFont="1" applyFill="1" applyBorder="1" applyAlignment="1">
      <alignment horizontal="center" vertical="center"/>
    </xf>
    <xf numFmtId="224" fontId="17" fillId="0" borderId="0" xfId="3676" quotePrefix="1" applyNumberFormat="1" applyFont="1" applyFill="1" applyBorder="1" applyAlignment="1">
      <alignment horizontal="center" vertical="center"/>
    </xf>
    <xf numFmtId="226" fontId="17" fillId="0" borderId="0" xfId="3676" applyNumberFormat="1" applyFont="1" applyFill="1" applyBorder="1" applyAlignment="1">
      <alignment horizontal="center" vertical="center"/>
    </xf>
    <xf numFmtId="226" fontId="177" fillId="0" borderId="0" xfId="3676" applyNumberFormat="1" applyFont="1" applyFill="1" applyBorder="1" applyAlignment="1">
      <alignment horizontal="center" vertical="center"/>
    </xf>
    <xf numFmtId="237" fontId="171" fillId="0" borderId="0" xfId="3676" applyNumberFormat="1" applyFont="1" applyFill="1" applyBorder="1" applyAlignment="1">
      <alignment horizontal="center" vertical="center"/>
    </xf>
    <xf numFmtId="238" fontId="13" fillId="0" borderId="0" xfId="3676" applyNumberFormat="1" applyFont="1" applyFill="1" applyBorder="1" applyAlignment="1">
      <alignment horizontal="center" vertical="center"/>
    </xf>
    <xf numFmtId="236" fontId="17" fillId="0" borderId="0" xfId="3676" applyNumberFormat="1" applyFont="1" applyFill="1" applyBorder="1" applyAlignment="1">
      <alignment horizontal="center" vertical="center"/>
    </xf>
    <xf numFmtId="237" fontId="17" fillId="0" borderId="0" xfId="3676" applyNumberFormat="1" applyFont="1" applyFill="1" applyBorder="1" applyAlignment="1">
      <alignment horizontal="center" vertical="center"/>
    </xf>
    <xf numFmtId="237" fontId="179" fillId="0" borderId="0" xfId="3676" applyNumberFormat="1" applyFont="1" applyFill="1" applyBorder="1" applyAlignment="1">
      <alignment horizontal="center" vertical="center"/>
    </xf>
    <xf numFmtId="0" fontId="173" fillId="0" borderId="20" xfId="52" applyFont="1" applyFill="1" applyBorder="1" applyAlignment="1">
      <alignment horizontal="center"/>
    </xf>
    <xf numFmtId="0" fontId="16" fillId="0" borderId="39" xfId="52" applyFont="1" applyFill="1" applyBorder="1" applyAlignment="1">
      <alignment horizontal="center"/>
    </xf>
    <xf numFmtId="0" fontId="16" fillId="0" borderId="51" xfId="52" applyFont="1" applyFill="1" applyBorder="1" applyAlignment="1">
      <alignment horizontal="center"/>
    </xf>
    <xf numFmtId="0" fontId="17" fillId="0" borderId="0" xfId="3680" applyFont="1" applyFill="1" applyBorder="1" applyAlignment="1">
      <alignment horizontal="center"/>
    </xf>
    <xf numFmtId="225" fontId="17" fillId="0" borderId="0" xfId="3680" applyNumberFormat="1" applyFont="1" applyFill="1" applyBorder="1"/>
    <xf numFmtId="226" fontId="17" fillId="0" borderId="0" xfId="3680" applyNumberFormat="1" applyFont="1" applyFill="1" applyBorder="1"/>
    <xf numFmtId="0" fontId="1" fillId="0" borderId="0" xfId="3680"/>
    <xf numFmtId="0" fontId="16" fillId="0" borderId="0" xfId="0" applyFont="1" applyFill="1" applyBorder="1" applyAlignment="1">
      <alignment horizontal="center"/>
    </xf>
    <xf numFmtId="0" fontId="17" fillId="0" borderId="0" xfId="0" applyFont="1" applyBorder="1"/>
    <xf numFmtId="0" fontId="16" fillId="0" borderId="0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192" fontId="17" fillId="0" borderId="0" xfId="0" applyNumberFormat="1" applyFont="1" applyFill="1" applyBorder="1" applyAlignment="1">
      <alignment horizontal="center"/>
    </xf>
    <xf numFmtId="192" fontId="17" fillId="0" borderId="35" xfId="0" applyNumberFormat="1" applyFont="1" applyFill="1" applyBorder="1" applyAlignment="1">
      <alignment horizontal="center"/>
    </xf>
    <xf numFmtId="0" fontId="17" fillId="0" borderId="0" xfId="0" applyFont="1" applyFill="1" applyBorder="1" applyAlignment="1">
      <alignment wrapText="1"/>
    </xf>
    <xf numFmtId="0" fontId="17" fillId="0" borderId="35" xfId="0" applyFont="1" applyFill="1" applyBorder="1" applyAlignment="1">
      <alignment horizontal="center"/>
    </xf>
    <xf numFmtId="10" fontId="17" fillId="0" borderId="0" xfId="0" applyNumberFormat="1" applyFont="1" applyFill="1" applyBorder="1" applyAlignment="1">
      <alignment horizontal="center"/>
    </xf>
    <xf numFmtId="190" fontId="17" fillId="0" borderId="0" xfId="0" applyNumberFormat="1" applyFont="1" applyFill="1" applyBorder="1" applyAlignment="1">
      <alignment horizontal="center"/>
    </xf>
    <xf numFmtId="190" fontId="17" fillId="0" borderId="35" xfId="0" applyNumberFormat="1" applyFont="1" applyFill="1" applyBorder="1" applyAlignment="1">
      <alignment horizontal="center"/>
    </xf>
    <xf numFmtId="220" fontId="17" fillId="0" borderId="0" xfId="0" applyNumberFormat="1" applyFont="1" applyFill="1" applyBorder="1"/>
    <xf numFmtId="221" fontId="17" fillId="0" borderId="0" xfId="0" applyNumberFormat="1" applyFont="1" applyBorder="1"/>
    <xf numFmtId="0" fontId="16" fillId="0" borderId="0" xfId="0" applyFont="1" applyFill="1" applyBorder="1"/>
    <xf numFmtId="14" fontId="17" fillId="0" borderId="0" xfId="0" applyNumberFormat="1" applyFont="1" applyFill="1" applyBorder="1" applyAlignment="1">
      <alignment horizontal="center"/>
    </xf>
    <xf numFmtId="222" fontId="17" fillId="0" borderId="0" xfId="0" applyNumberFormat="1" applyFont="1" applyFill="1" applyBorder="1" applyAlignment="1">
      <alignment horizontal="center"/>
    </xf>
    <xf numFmtId="164" fontId="17" fillId="0" borderId="0" xfId="0" applyNumberFormat="1" applyFont="1" applyFill="1" applyBorder="1" applyAlignment="1">
      <alignment horizontal="center"/>
    </xf>
    <xf numFmtId="165" fontId="17" fillId="0" borderId="0" xfId="0" applyNumberFormat="1" applyFont="1" applyFill="1" applyBorder="1" applyAlignment="1">
      <alignment horizontal="center"/>
    </xf>
    <xf numFmtId="165" fontId="17" fillId="0" borderId="0" xfId="0" applyNumberFormat="1" applyFont="1" applyFill="1" applyBorder="1"/>
    <xf numFmtId="0" fontId="171" fillId="0" borderId="0" xfId="0" applyFont="1" applyFill="1" applyBorder="1" applyAlignment="1">
      <alignment horizontal="center"/>
    </xf>
    <xf numFmtId="228" fontId="176" fillId="0" borderId="0" xfId="0" applyNumberFormat="1" applyFont="1" applyAlignment="1">
      <alignment horizontal="center"/>
    </xf>
    <xf numFmtId="0" fontId="13" fillId="0" borderId="0" xfId="0" applyFont="1" applyFill="1" applyBorder="1" applyAlignment="1">
      <alignment horizontal="center"/>
    </xf>
    <xf numFmtId="227" fontId="17" fillId="0" borderId="0" xfId="0" applyNumberFormat="1" applyFont="1" applyAlignment="1">
      <alignment horizontal="center"/>
    </xf>
    <xf numFmtId="226" fontId="17" fillId="0" borderId="0" xfId="0" applyNumberFormat="1" applyFont="1" applyAlignment="1">
      <alignment horizontal="center"/>
    </xf>
    <xf numFmtId="0" fontId="171" fillId="0" borderId="0" xfId="0" applyFont="1" applyAlignment="1">
      <alignment horizontal="center"/>
    </xf>
    <xf numFmtId="0" fontId="178" fillId="0" borderId="0" xfId="0" applyFont="1" applyFill="1" applyBorder="1"/>
    <xf numFmtId="227" fontId="17" fillId="0" borderId="0" xfId="0" applyNumberFormat="1" applyFont="1" applyFill="1" applyBorder="1"/>
    <xf numFmtId="190" fontId="17" fillId="0" borderId="0" xfId="0" applyNumberFormat="1" applyFont="1" applyBorder="1"/>
    <xf numFmtId="17" fontId="17" fillId="0" borderId="0" xfId="0" applyNumberFormat="1" applyFont="1" applyBorder="1"/>
    <xf numFmtId="12" fontId="17" fillId="0" borderId="0" xfId="0" applyNumberFormat="1" applyFont="1" applyBorder="1"/>
    <xf numFmtId="235" fontId="17" fillId="0" borderId="0" xfId="0" applyNumberFormat="1" applyFont="1" applyBorder="1"/>
    <xf numFmtId="0" fontId="67" fillId="0" borderId="0" xfId="0" applyFont="1"/>
    <xf numFmtId="228" fontId="176" fillId="0" borderId="0" xfId="0" applyNumberFormat="1" applyFont="1"/>
    <xf numFmtId="0" fontId="172" fillId="0" borderId="0" xfId="0" applyFont="1" applyFill="1" applyBorder="1"/>
    <xf numFmtId="0" fontId="17" fillId="0" borderId="0" xfId="0" applyFont="1" applyAlignment="1">
      <alignment horizontal="center"/>
    </xf>
    <xf numFmtId="0" fontId="67" fillId="0" borderId="0" xfId="0" applyFont="1" applyFill="1" applyBorder="1" applyAlignment="1">
      <alignment horizontal="center"/>
    </xf>
    <xf numFmtId="227" fontId="172" fillId="0" borderId="0" xfId="0" applyNumberFormat="1" applyFont="1" applyFill="1" applyBorder="1"/>
    <xf numFmtId="0" fontId="172" fillId="0" borderId="0" xfId="0" applyFont="1" applyFill="1"/>
    <xf numFmtId="228" fontId="0" fillId="0" borderId="0" xfId="0" applyNumberFormat="1" applyFill="1" applyBorder="1" applyAlignment="1">
      <alignment horizontal="right" wrapText="1"/>
    </xf>
    <xf numFmtId="0" fontId="0" fillId="0" borderId="0" xfId="0" applyFill="1" applyBorder="1" applyAlignment="1">
      <alignment horizontal="right" vertical="top" wrapText="1"/>
    </xf>
    <xf numFmtId="190" fontId="0" fillId="0" borderId="0" xfId="0" applyNumberFormat="1" applyFill="1" applyBorder="1" applyAlignment="1">
      <alignment horizontal="right" vertical="top" wrapText="1"/>
    </xf>
    <xf numFmtId="165" fontId="60" fillId="0" borderId="0" xfId="0" applyNumberFormat="1" applyFont="1" applyFill="1" applyBorder="1" applyAlignment="1">
      <alignment horizontal="right" wrapText="1"/>
    </xf>
    <xf numFmtId="165" fontId="0" fillId="0" borderId="0" xfId="0" applyNumberFormat="1" applyFill="1" applyBorder="1" applyAlignment="1">
      <alignment horizontal="right" wrapText="1"/>
    </xf>
    <xf numFmtId="229" fontId="0" fillId="0" borderId="0" xfId="0" applyNumberFormat="1" applyFill="1" applyBorder="1" applyAlignment="1">
      <alignment horizontal="right" wrapText="1"/>
    </xf>
    <xf numFmtId="165" fontId="60" fillId="0" borderId="0" xfId="0" applyNumberFormat="1" applyFont="1" applyFill="1" applyBorder="1" applyAlignment="1">
      <alignment horizontal="right"/>
    </xf>
    <xf numFmtId="0" fontId="16" fillId="0" borderId="0" xfId="0" applyFont="1" applyFill="1" applyBorder="1" applyAlignment="1">
      <alignment horizontal="right"/>
    </xf>
    <xf numFmtId="228" fontId="13" fillId="0" borderId="0" xfId="0" applyNumberFormat="1" applyFont="1" applyFill="1" applyBorder="1" applyAlignment="1">
      <alignment horizontal="right" wrapText="1"/>
    </xf>
    <xf numFmtId="15" fontId="13" fillId="0" borderId="0" xfId="0" applyNumberFormat="1" applyFont="1" applyFill="1" applyBorder="1" applyAlignment="1">
      <alignment horizontal="right"/>
    </xf>
    <xf numFmtId="0" fontId="13" fillId="0" borderId="0" xfId="0" applyFont="1" applyFill="1" applyBorder="1" applyAlignment="1">
      <alignment horizontal="right" vertical="top" wrapText="1"/>
    </xf>
    <xf numFmtId="0" fontId="13" fillId="0" borderId="0" xfId="0" applyFont="1" applyFill="1" applyBorder="1" applyAlignment="1">
      <alignment horizontal="right"/>
    </xf>
    <xf numFmtId="190" fontId="13" fillId="0" borderId="0" xfId="0" applyNumberFormat="1" applyFont="1" applyFill="1" applyBorder="1" applyAlignment="1">
      <alignment horizontal="right" vertical="top" wrapText="1"/>
    </xf>
    <xf numFmtId="165" fontId="13" fillId="0" borderId="0" xfId="0" applyNumberFormat="1" applyFont="1" applyFill="1" applyBorder="1" applyAlignment="1">
      <alignment horizontal="right" wrapText="1"/>
    </xf>
    <xf numFmtId="229" fontId="13" fillId="0" borderId="0" xfId="0" applyNumberFormat="1" applyFont="1" applyFill="1" applyBorder="1" applyAlignment="1">
      <alignment horizontal="right" wrapText="1"/>
    </xf>
    <xf numFmtId="230" fontId="60" fillId="0" borderId="0" xfId="0" applyNumberFormat="1" applyFont="1" applyFill="1" applyBorder="1" applyAlignment="1">
      <alignment horizontal="right" wrapText="1"/>
    </xf>
    <xf numFmtId="0" fontId="60" fillId="0" borderId="0" xfId="0" applyFont="1" applyFill="1" applyBorder="1" applyAlignment="1">
      <alignment horizontal="right"/>
    </xf>
    <xf numFmtId="2" fontId="13" fillId="0" borderId="0" xfId="0" applyNumberFormat="1" applyFont="1" applyFill="1" applyBorder="1" applyAlignment="1">
      <alignment horizontal="right"/>
    </xf>
    <xf numFmtId="0" fontId="17" fillId="0" borderId="0" xfId="0" applyFont="1" applyFill="1" applyBorder="1" applyAlignment="1">
      <alignment horizontal="right"/>
    </xf>
    <xf numFmtId="14" fontId="17" fillId="0" borderId="0" xfId="0" applyNumberFormat="1" applyFont="1" applyFill="1" applyBorder="1"/>
    <xf numFmtId="1" fontId="17" fillId="0" borderId="0" xfId="0" applyNumberFormat="1" applyFont="1" applyFill="1" applyBorder="1"/>
    <xf numFmtId="231" fontId="17" fillId="0" borderId="0" xfId="0" applyNumberFormat="1" applyFont="1" applyFill="1" applyBorder="1"/>
    <xf numFmtId="227" fontId="17" fillId="0" borderId="0" xfId="0" applyNumberFormat="1" applyFont="1" applyBorder="1"/>
    <xf numFmtId="227" fontId="17" fillId="0" borderId="0" xfId="0" applyNumberFormat="1" applyFont="1"/>
    <xf numFmtId="2" fontId="175" fillId="0" borderId="0" xfId="0" quotePrefix="1" applyNumberFormat="1" applyFont="1" applyFill="1" applyAlignment="1">
      <alignment horizontal="center"/>
    </xf>
    <xf numFmtId="2" fontId="175" fillId="0" borderId="0" xfId="0" applyNumberFormat="1" applyFont="1" applyFill="1" applyAlignment="1">
      <alignment horizontal="center"/>
    </xf>
    <xf numFmtId="1" fontId="80" fillId="0" borderId="0" xfId="0" applyNumberFormat="1" applyFont="1" applyFill="1" applyBorder="1" applyAlignment="1">
      <alignment horizontal="center"/>
    </xf>
    <xf numFmtId="1" fontId="80" fillId="0" borderId="0" xfId="0" applyNumberFormat="1" applyFont="1" applyAlignment="1">
      <alignment horizontal="center"/>
    </xf>
    <xf numFmtId="1" fontId="80" fillId="0" borderId="0" xfId="0" applyNumberFormat="1" applyFont="1" applyFill="1" applyBorder="1" applyAlignment="1">
      <alignment horizontal="center" wrapText="1"/>
    </xf>
    <xf numFmtId="0" fontId="180" fillId="0" borderId="0" xfId="0" applyFont="1"/>
  </cellXfs>
  <cellStyles count="3681">
    <cellStyle name=" 1" xfId="772"/>
    <cellStyle name=" 2" xfId="773"/>
    <cellStyle name=" 3" xfId="774"/>
    <cellStyle name=" 4" xfId="775"/>
    <cellStyle name=" 5" xfId="776"/>
    <cellStyle name="_x000a_386grabber=m" xfId="777"/>
    <cellStyle name="_%(SignOnly)" xfId="1"/>
    <cellStyle name="_%(SignSpaceOnly)" xfId="2"/>
    <cellStyle name="_02-Feb-09  " xfId="778"/>
    <cellStyle name="_05-Feb-09 " xfId="779"/>
    <cellStyle name="_06-Feb-09  " xfId="780"/>
    <cellStyle name="_12-Dec-08 " xfId="781"/>
    <cellStyle name="_17-Dec-08 " xfId="782"/>
    <cellStyle name="_22-Oct-08 " xfId="783"/>
    <cellStyle name="_26-Dec-08 " xfId="784"/>
    <cellStyle name="_30" xfId="64"/>
    <cellStyle name="_Comma" xfId="3"/>
    <cellStyle name="_Comma 2" xfId="765"/>
    <cellStyle name="_Control" xfId="65"/>
    <cellStyle name="_Control_1" xfId="66"/>
    <cellStyle name="_Control_1_20081021_cms" xfId="67"/>
    <cellStyle name="_Control_1_Adjustments" xfId="68"/>
    <cellStyle name="_Control_1_Adjustments 2" xfId="395"/>
    <cellStyle name="_Control_1_Adjustments 3" xfId="396"/>
    <cellStyle name="_Control_1_Adjustments 3_IBRD_Pricing EUR&amp;USD 2013-01-31" xfId="397"/>
    <cellStyle name="_Control_1_Adjustments 3_IBRD_Pricing EUR&amp;USD 2013-01-31 2" xfId="785"/>
    <cellStyle name="_Control_1_Andy" xfId="69"/>
    <cellStyle name="_Control_1_Control" xfId="70"/>
    <cellStyle name="_Control_1_Control_Andy" xfId="71"/>
    <cellStyle name="_Control_1_Control_Andy 2" xfId="398"/>
    <cellStyle name="_Control_1_Control_Andy 3" xfId="399"/>
    <cellStyle name="_Control_1_Control_Andy 3_IBRD_Pricing EUR&amp;USD 2013-01-31" xfId="400"/>
    <cellStyle name="_Control_1_Control_Andy 3_IBRD_Pricing EUR&amp;USD 2013-01-31 2" xfId="786"/>
    <cellStyle name="_Control_1_Control_Eur Vol Book" xfId="72"/>
    <cellStyle name="_Control_1_Control_Eur Vol Book 2" xfId="401"/>
    <cellStyle name="_Control_1_Control_Eur Vol Book 3" xfId="402"/>
    <cellStyle name="_Control_1_Control_Eur Vol Book 3_IBRD_Pricing EUR&amp;USD 2013-01-31" xfId="403"/>
    <cellStyle name="_Control_1_Control_Eur Vol Book 3_IBRD_Pricing EUR&amp;USD 2013-01-31 2" xfId="787"/>
    <cellStyle name="_Control_1_Copy of RiskTool_dev_2_824_20_TK" xfId="73"/>
    <cellStyle name="_Control_1_Eur Vol Book" xfId="74"/>
    <cellStyle name="_Control_1_Overrides" xfId="75"/>
    <cellStyle name="_Control_1_Overrides TK" xfId="76"/>
    <cellStyle name="_Control_1_OverrideTK" xfId="77"/>
    <cellStyle name="_Control_1_PCA" xfId="78"/>
    <cellStyle name="_Control_1_RiskTool_dev_2_811_TK_2_MGenVol" xfId="79"/>
    <cellStyle name="_Control_1_RiskTool_dev_2_819_TK_2" xfId="80"/>
    <cellStyle name="_Control_1_RiskTool_dev_2_819_TK_2 2" xfId="404"/>
    <cellStyle name="_Control_1_RiskTool_dev_2_819_TK_2 3" xfId="405"/>
    <cellStyle name="_Control_1_RiskTool_dev_2_819_TK_2 3_IBRD_Pricing EUR&amp;USD 2013-01-31" xfId="406"/>
    <cellStyle name="_Control_1_RiskTool_dev_2_819_TK_2 3_IBRD_Pricing EUR&amp;USD 2013-01-31 2" xfId="788"/>
    <cellStyle name="_Control_1_RiskTool_dev_2_820_TK_2" xfId="81"/>
    <cellStyle name="_Control_1_RiskTool_dev_2_821_TK" xfId="82"/>
    <cellStyle name="_Control_1_RiskTool_dev_2_821_TK_3" xfId="83"/>
    <cellStyle name="_Control_1_RiskTool_dev_2_822_TK_2" xfId="84"/>
    <cellStyle name="_Control_1_RiskTool_dev_2_823_TK_2" xfId="85"/>
    <cellStyle name="_Control_1_RiskTool_dev_2_823_TK_3" xfId="86"/>
    <cellStyle name="_Control_1_RiskTool_dev_2_824_17_TK" xfId="87"/>
    <cellStyle name="_Control_1_RiskTool_dev_2_824_18_TK" xfId="88"/>
    <cellStyle name="_Control_1_RiskTool_dev_2_826.2" xfId="89"/>
    <cellStyle name="_Control_1_RTTrades" xfId="90"/>
    <cellStyle name="_Control_1_Scenarios" xfId="91"/>
    <cellStyle name="_Control_1_Scenarios_1" xfId="92"/>
    <cellStyle name="_Control_1_Scenarios_1 2" xfId="407"/>
    <cellStyle name="_Control_1_Scenarios_1 3" xfId="408"/>
    <cellStyle name="_Control_1_Scenarios_1 3_IBRD_Pricing EUR&amp;USD 2013-01-31" xfId="409"/>
    <cellStyle name="_Control_1_Scenarios_1 3_IBRD_Pricing EUR&amp;USD 2013-01-31 2" xfId="789"/>
    <cellStyle name="_Control_1_Trades" xfId="93"/>
    <cellStyle name="_Control_20081021_cms" xfId="94"/>
    <cellStyle name="_Control_Adjustments" xfId="95"/>
    <cellStyle name="_Control_Control" xfId="96"/>
    <cellStyle name="_Control_Control_1" xfId="97"/>
    <cellStyle name="_Control_Control_20081021_cms" xfId="98"/>
    <cellStyle name="_Control_Control_Adjustments" xfId="99"/>
    <cellStyle name="_Control_Control_Control" xfId="100"/>
    <cellStyle name="_Control_Control_Copy of RiskTool_dev_2_824_20_TK" xfId="101"/>
    <cellStyle name="_Control_Control_Overrides" xfId="102"/>
    <cellStyle name="_Control_Control_Overrides TK" xfId="103"/>
    <cellStyle name="_Control_Control_OverrideTK" xfId="104"/>
    <cellStyle name="_Control_Control_PCA" xfId="105"/>
    <cellStyle name="_Control_Control_RiskTool_dev_2_811_TK_2_MGenVol" xfId="106"/>
    <cellStyle name="_Control_Control_RiskTool_dev_2_813_TK_2" xfId="107"/>
    <cellStyle name="_Control_Control_RiskTool_dev_2_814_TK" xfId="108"/>
    <cellStyle name="_Control_Control_RiskTool_dev_2_817_TK_2" xfId="109"/>
    <cellStyle name="_Control_Control_RiskTool_dev_2_819_TK" xfId="110"/>
    <cellStyle name="_Control_Control_RiskTool_dev_2_819_TK_2" xfId="111"/>
    <cellStyle name="_Control_Control_RiskTool_dev_2_820_TK_2" xfId="112"/>
    <cellStyle name="_Control_Control_RiskTool_dev_2_821_TK" xfId="113"/>
    <cellStyle name="_Control_Control_RiskTool_dev_2_821_TK_3" xfId="114"/>
    <cellStyle name="_Control_Control_RiskTool_dev_2_822_TK_2" xfId="115"/>
    <cellStyle name="_Control_Control_RiskTool_dev_2_823_TK_2" xfId="116"/>
    <cellStyle name="_Control_Control_RiskTool_dev_2_823_TK_3" xfId="117"/>
    <cellStyle name="_Control_Control_RiskTool_dev_2_824_17_TK" xfId="118"/>
    <cellStyle name="_Control_Control_RiskTool_dev_2_824_18_TK" xfId="119"/>
    <cellStyle name="_Control_Control_RiskTool_dev_2_826.2" xfId="120"/>
    <cellStyle name="_Control_Control_RTTrades" xfId="121"/>
    <cellStyle name="_Control_Control_Scenarios" xfId="122"/>
    <cellStyle name="_Control_Control_Trades" xfId="123"/>
    <cellStyle name="_Control_Control_USD" xfId="124"/>
    <cellStyle name="_Control_Copy of RiskTool_dev_2_824_20_TK" xfId="125"/>
    <cellStyle name="_Control_Overrides" xfId="126"/>
    <cellStyle name="_Control_Overrides TK" xfId="127"/>
    <cellStyle name="_Control_OverrideTK" xfId="128"/>
    <cellStyle name="_Control_PCA" xfId="129"/>
    <cellStyle name="_Control_RiskTool_dev_2_811_TK_2_MGenVol" xfId="130"/>
    <cellStyle name="_Control_RiskTool_dev_2_813_TK_2" xfId="131"/>
    <cellStyle name="_Control_RiskTool_dev_2_814_TK" xfId="132"/>
    <cellStyle name="_Control_RiskTool_dev_2_817_TK_2" xfId="133"/>
    <cellStyle name="_Control_RiskTool_dev_2_819_TK" xfId="134"/>
    <cellStyle name="_Control_RiskTool_dev_2_819_TK_2" xfId="135"/>
    <cellStyle name="_Control_RiskTool_dev_2_820_TK_2" xfId="136"/>
    <cellStyle name="_Control_RiskTool_dev_2_821_TK" xfId="137"/>
    <cellStyle name="_Control_RiskTool_dev_2_821_TK_3" xfId="138"/>
    <cellStyle name="_Control_RiskTool_dev_2_822_TK_2" xfId="139"/>
    <cellStyle name="_Control_RiskTool_dev_2_823_TK_2" xfId="140"/>
    <cellStyle name="_Control_RiskTool_dev_2_823_TK_3" xfId="141"/>
    <cellStyle name="_Control_RiskTool_dev_2_824_17_TK" xfId="142"/>
    <cellStyle name="_Control_RiskTool_dev_2_824_18_TK" xfId="143"/>
    <cellStyle name="_Control_RiskTool_dev_2_826.2" xfId="144"/>
    <cellStyle name="_Control_RTTrades" xfId="145"/>
    <cellStyle name="_Control_RTTrades_1" xfId="146"/>
    <cellStyle name="_Control_RTTrades_20081021_cms" xfId="147"/>
    <cellStyle name="_Control_RTTrades_Adjustments" xfId="148"/>
    <cellStyle name="_Control_RTTrades_Control" xfId="149"/>
    <cellStyle name="_Control_RTTrades_Copy of RiskTool_dev_2_824_20_TK" xfId="150"/>
    <cellStyle name="_Control_RTTrades_Overrides" xfId="151"/>
    <cellStyle name="_Control_RTTrades_Overrides TK" xfId="152"/>
    <cellStyle name="_Control_RTTrades_OverrideTK" xfId="153"/>
    <cellStyle name="_Control_RTTrades_PCA" xfId="154"/>
    <cellStyle name="_Control_RTTrades_RiskTool_dev_2_811_TK_2_MGenVol" xfId="155"/>
    <cellStyle name="_Control_RTTrades_RiskTool_dev_2_813_TK_2" xfId="156"/>
    <cellStyle name="_Control_RTTrades_RiskTool_dev_2_814_TK" xfId="157"/>
    <cellStyle name="_Control_RTTrades_RiskTool_dev_2_817_TK_2" xfId="158"/>
    <cellStyle name="_Control_RTTrades_RiskTool_dev_2_819_TK" xfId="159"/>
    <cellStyle name="_Control_RTTrades_RiskTool_dev_2_819_TK_2" xfId="160"/>
    <cellStyle name="_Control_RTTrades_RiskTool_dev_2_820_TK_2" xfId="161"/>
    <cellStyle name="_Control_RTTrades_RiskTool_dev_2_821_TK" xfId="162"/>
    <cellStyle name="_Control_RTTrades_RiskTool_dev_2_821_TK_3" xfId="163"/>
    <cellStyle name="_Control_RTTrades_RiskTool_dev_2_822_TK_2" xfId="164"/>
    <cellStyle name="_Control_RTTrades_RiskTool_dev_2_823_TK_2" xfId="165"/>
    <cellStyle name="_Control_RTTrades_RiskTool_dev_2_823_TK_3" xfId="166"/>
    <cellStyle name="_Control_RTTrades_RiskTool_dev_2_824_17_TK" xfId="167"/>
    <cellStyle name="_Control_RTTrades_RiskTool_dev_2_824_18_TK" xfId="168"/>
    <cellStyle name="_Control_RTTrades_RiskTool_dev_2_826.2" xfId="169"/>
    <cellStyle name="_Control_RTTrades_RTTrades" xfId="170"/>
    <cellStyle name="_Control_RTTrades_Scenarios" xfId="171"/>
    <cellStyle name="_Control_RTTrades_Trades" xfId="172"/>
    <cellStyle name="_Control_RTTrades_USD" xfId="173"/>
    <cellStyle name="_Control_Scenarios" xfId="174"/>
    <cellStyle name="_Control_Trades" xfId="175"/>
    <cellStyle name="_Control_USD" xfId="176"/>
    <cellStyle name="_Currency" xfId="4"/>
    <cellStyle name="_CurrencySpace" xfId="5"/>
    <cellStyle name="_Euro" xfId="6"/>
    <cellStyle name="_FxSpotLadderControl" xfId="177"/>
    <cellStyle name="_FxSpotLadderControl_20081021_cms" xfId="178"/>
    <cellStyle name="_FxSpotLadderControl_Adjustments" xfId="179"/>
    <cellStyle name="_FxSpotLadderControl_Control" xfId="180"/>
    <cellStyle name="_FxSpotLadderControl_Copy of RiskTool_dev_2_824_20_TK" xfId="181"/>
    <cellStyle name="_FxSpotLadderControl_Overrides" xfId="182"/>
    <cellStyle name="_FxSpotLadderControl_Overrides TK" xfId="183"/>
    <cellStyle name="_FxSpotLadderControl_OverrideTK" xfId="184"/>
    <cellStyle name="_FxSpotLadderControl_PCA" xfId="185"/>
    <cellStyle name="_FxSpotLadderControl_RiskTool_dev_2_811_TK_2_MGenVol" xfId="186"/>
    <cellStyle name="_FxSpotLadderControl_RiskTool_dev_2_813_TK_2" xfId="187"/>
    <cellStyle name="_FxSpotLadderControl_RiskTool_dev_2_814_TK" xfId="188"/>
    <cellStyle name="_FxSpotLadderControl_RiskTool_dev_2_817_TK_2" xfId="189"/>
    <cellStyle name="_FxSpotLadderControl_RiskTool_dev_2_819_TK" xfId="190"/>
    <cellStyle name="_FxSpotLadderControl_RiskTool_dev_2_819_TK_2" xfId="191"/>
    <cellStyle name="_FxSpotLadderControl_RiskTool_dev_2_820_TK_2" xfId="192"/>
    <cellStyle name="_FxSpotLadderControl_RiskTool_dev_2_821_TK" xfId="193"/>
    <cellStyle name="_FxSpotLadderControl_RiskTool_dev_2_821_TK_3" xfId="194"/>
    <cellStyle name="_FxSpotLadderControl_RiskTool_dev_2_822_TK_2" xfId="195"/>
    <cellStyle name="_FxSpotLadderControl_RiskTool_dev_2_823_TK_2" xfId="196"/>
    <cellStyle name="_FxSpotLadderControl_RiskTool_dev_2_823_TK_3" xfId="197"/>
    <cellStyle name="_FxSpotLadderControl_RiskTool_dev_2_824_17_TK" xfId="198"/>
    <cellStyle name="_FxSpotLadderControl_RiskTool_dev_2_824_18_TK" xfId="199"/>
    <cellStyle name="_FxSpotLadderControl_RiskTool_dev_2_826.2" xfId="200"/>
    <cellStyle name="_FxSpotLadderControl_RTTrades" xfId="201"/>
    <cellStyle name="_FxSpotLadderControl_Scenarios" xfId="202"/>
    <cellStyle name="_FxSpotLadderControl_Trades" xfId="203"/>
    <cellStyle name="_FxSpotLadderControl_USD" xfId="204"/>
    <cellStyle name="_GIS_JOD_042009" xfId="790"/>
    <cellStyle name="_GIS_JOD_042009_itjb08_0910" xfId="791"/>
    <cellStyle name="_GIS_JOD_042009_itjb09_1014" xfId="792"/>
    <cellStyle name="_Heading" xfId="7"/>
    <cellStyle name="_Heading_10 Feb" xfId="8"/>
    <cellStyle name="_Heading_Dealer Input" xfId="9"/>
    <cellStyle name="_Heading_GS" xfId="10"/>
    <cellStyle name="_Heading_Sheet1" xfId="11"/>
    <cellStyle name="_Highlight" xfId="12"/>
    <cellStyle name="_itjb08_0910" xfId="793"/>
    <cellStyle name="_itjb09_1014" xfId="794"/>
    <cellStyle name="_Multiple" xfId="13"/>
    <cellStyle name="_MultipleSpace" xfId="14"/>
    <cellStyle name="_Overrides" xfId="205"/>
    <cellStyle name="_Overrides 2" xfId="410"/>
    <cellStyle name="_Overrides 3" xfId="411"/>
    <cellStyle name="_Overrides 3_IBRD_Pricing EUR&amp;USD 2013-01-31" xfId="412"/>
    <cellStyle name="_Overrides 3_IBRD_Pricing EUR&amp;USD 2013-01-31 2" xfId="795"/>
    <cellStyle name="_RiskTool Inputs" xfId="206"/>
    <cellStyle name="_Sheet1" xfId="207"/>
    <cellStyle name="_SubHeading" xfId="15"/>
    <cellStyle name="_SubHeading_10 Feb" xfId="16"/>
    <cellStyle name="_SubHeading_Dealer Input" xfId="17"/>
    <cellStyle name="_SubHeading_GS" xfId="18"/>
    <cellStyle name="_SubHeading_Sheet1" xfId="19"/>
    <cellStyle name="_Table" xfId="20"/>
    <cellStyle name="_Table_10 Feb" xfId="21"/>
    <cellStyle name="_Table_Dealer Input" xfId="22"/>
    <cellStyle name="_Table_GS" xfId="23"/>
    <cellStyle name="_Table_Sheet1" xfId="24"/>
    <cellStyle name="_TableHead" xfId="25"/>
    <cellStyle name="_TableHead_10 Feb" xfId="26"/>
    <cellStyle name="_TableHead_Dealer Input" xfId="27"/>
    <cellStyle name="_TableHead_GS" xfId="28"/>
    <cellStyle name="_TableHead_Sheet1" xfId="29"/>
    <cellStyle name="_TableRowHead" xfId="30"/>
    <cellStyle name="_TableRowHead_10 Feb" xfId="31"/>
    <cellStyle name="_TableRowHead_Dealer Input" xfId="32"/>
    <cellStyle name="_TableRowHead_GS" xfId="33"/>
    <cellStyle name="_TableRowHead_Sheet1" xfId="34"/>
    <cellStyle name="_TableSuperHead" xfId="35"/>
    <cellStyle name="_TableSuperHead_10 Feb" xfId="36"/>
    <cellStyle name="_TableSuperHead_Dealer Input" xfId="37"/>
    <cellStyle name="_TableSuperHead_GS" xfId="38"/>
    <cellStyle name="_TableSuperHead_Sheet1" xfId="39"/>
    <cellStyle name="_Trades" xfId="208"/>
    <cellStyle name="_Trades_20081021_cms" xfId="209"/>
    <cellStyle name="_Trades_Adjustments" xfId="210"/>
    <cellStyle name="_Trades_Control" xfId="211"/>
    <cellStyle name="_Trades_Copy of RiskTool_dev_2_824_20_TK" xfId="212"/>
    <cellStyle name="_Trades_Overrides" xfId="213"/>
    <cellStyle name="_Trades_Overrides TK" xfId="214"/>
    <cellStyle name="_Trades_OverrideTK" xfId="215"/>
    <cellStyle name="_Trades_PCA" xfId="216"/>
    <cellStyle name="_Trades_RiskTool_dev_2_811_TK_2_MGenVol" xfId="217"/>
    <cellStyle name="_Trades_RiskTool_dev_2_813_TK_2" xfId="218"/>
    <cellStyle name="_Trades_RiskTool_dev_2_814_TK" xfId="219"/>
    <cellStyle name="_Trades_RiskTool_dev_2_817_TK_2" xfId="220"/>
    <cellStyle name="_Trades_RiskTool_dev_2_819_TK" xfId="221"/>
    <cellStyle name="_Trades_RiskTool_dev_2_819_TK_2" xfId="222"/>
    <cellStyle name="_Trades_RiskTool_dev_2_820_TK_2" xfId="223"/>
    <cellStyle name="_Trades_RiskTool_dev_2_821_TK" xfId="224"/>
    <cellStyle name="_Trades_RiskTool_dev_2_821_TK_3" xfId="225"/>
    <cellStyle name="_Trades_RiskTool_dev_2_822_TK_2" xfId="226"/>
    <cellStyle name="_Trades_RiskTool_dev_2_823_TK_2" xfId="227"/>
    <cellStyle name="_Trades_RiskTool_dev_2_823_TK_3" xfId="228"/>
    <cellStyle name="_Trades_RiskTool_dev_2_824_17_TK" xfId="229"/>
    <cellStyle name="_Trades_RiskTool_dev_2_824_18_TK" xfId="230"/>
    <cellStyle name="_Trades_RiskTool_dev_2_826.2" xfId="231"/>
    <cellStyle name="_Trades_RTTrades" xfId="232"/>
    <cellStyle name="_Trades_Scenarios" xfId="233"/>
    <cellStyle name="_Trades_Trades" xfId="234"/>
    <cellStyle name="_Trades_USD" xfId="235"/>
    <cellStyle name="_USD" xfId="236"/>
    <cellStyle name="_USD 2" xfId="413"/>
    <cellStyle name="_USD 3" xfId="414"/>
    <cellStyle name="_USD 3_IBRD_Pricing EUR&amp;USD 2013-01-31" xfId="415"/>
    <cellStyle name="_USD 3_IBRD_Pricing EUR&amp;USD 2013-01-31 2" xfId="796"/>
    <cellStyle name="_usd risk" xfId="237"/>
    <cellStyle name="_usd risk 2" xfId="416"/>
    <cellStyle name="_usd risk 3" xfId="417"/>
    <cellStyle name="_usd risk 3_IBRD_Pricing EUR&amp;USD 2013-01-31" xfId="418"/>
    <cellStyle name="_usd risk 3_IBRD_Pricing EUR&amp;USD 2013-01-31 2" xfId="797"/>
    <cellStyle name="=C:\WINNT35\SYSTEM32\COMMAND.COM" xfId="238"/>
    <cellStyle name="=C:\WINNT35\SYSTEM32\COMMAND.COM 2" xfId="419"/>
    <cellStyle name="=C:\WINNT35\SYSTEM32\COMMAND.COM 3" xfId="420"/>
    <cellStyle name="=C:\WINNT35\SYSTEM32\COMMAND.COM 4" xfId="798"/>
    <cellStyle name="20% - Accent1 2" xfId="480"/>
    <cellStyle name="20% - Accent1 2 2" xfId="481"/>
    <cellStyle name="20% - Accent1 2 2 2" xfId="799"/>
    <cellStyle name="20% - Accent1 2 2 2 2" xfId="800"/>
    <cellStyle name="20% - Accent1 2 2 2 2 2" xfId="801"/>
    <cellStyle name="20% - Accent1 2 2 2 2 2 2" xfId="802"/>
    <cellStyle name="20% - Accent1 2 2 2 2 2 2 2" xfId="2934"/>
    <cellStyle name="20% - Accent1 2 2 2 2 2 3" xfId="803"/>
    <cellStyle name="20% - Accent1 2 2 2 2 2 4" xfId="2935"/>
    <cellStyle name="20% - Accent1 2 2 2 2 3" xfId="804"/>
    <cellStyle name="20% - Accent1 2 2 2 2 3 2" xfId="805"/>
    <cellStyle name="20% - Accent1 2 2 2 2 3 3" xfId="2936"/>
    <cellStyle name="20% - Accent1 2 2 2 2 4" xfId="806"/>
    <cellStyle name="20% - Accent1 2 2 2 2 5" xfId="2937"/>
    <cellStyle name="20% - Accent1 2 2 2 3" xfId="807"/>
    <cellStyle name="20% - Accent1 2 2 2 3 2" xfId="808"/>
    <cellStyle name="20% - Accent1 2 2 2 3 2 2" xfId="809"/>
    <cellStyle name="20% - Accent1 2 2 2 3 2 3" xfId="2938"/>
    <cellStyle name="20% - Accent1 2 2 2 3 3" xfId="810"/>
    <cellStyle name="20% - Accent1 2 2 2 3 4" xfId="2939"/>
    <cellStyle name="20% - Accent1 2 2 2 4" xfId="811"/>
    <cellStyle name="20% - Accent1 2 2 2 4 2" xfId="812"/>
    <cellStyle name="20% - Accent1 2 2 2 4 3" xfId="2940"/>
    <cellStyle name="20% - Accent1 2 2 2 5" xfId="813"/>
    <cellStyle name="20% - Accent1 2 2 2 6" xfId="2941"/>
    <cellStyle name="20% - Accent1 2 2 3" xfId="814"/>
    <cellStyle name="20% - Accent1 2 2 3 2" xfId="815"/>
    <cellStyle name="20% - Accent1 2 2 3 2 2" xfId="816"/>
    <cellStyle name="20% - Accent1 2 2 3 2 2 2" xfId="2942"/>
    <cellStyle name="20% - Accent1 2 2 3 2 3" xfId="817"/>
    <cellStyle name="20% - Accent1 2 2 3 2 4" xfId="2943"/>
    <cellStyle name="20% - Accent1 2 2 3 3" xfId="818"/>
    <cellStyle name="20% - Accent1 2 2 3 3 2" xfId="819"/>
    <cellStyle name="20% - Accent1 2 2 3 3 3" xfId="2944"/>
    <cellStyle name="20% - Accent1 2 2 3 4" xfId="820"/>
    <cellStyle name="20% - Accent1 2 2 3 5" xfId="2945"/>
    <cellStyle name="20% - Accent1 2 2 4" xfId="821"/>
    <cellStyle name="20% - Accent1 2 2 4 2" xfId="822"/>
    <cellStyle name="20% - Accent1 2 2 4 2 2" xfId="823"/>
    <cellStyle name="20% - Accent1 2 2 4 2 3" xfId="2946"/>
    <cellStyle name="20% - Accent1 2 2 4 3" xfId="824"/>
    <cellStyle name="20% - Accent1 2 2 4 4" xfId="2947"/>
    <cellStyle name="20% - Accent1 2 2 5" xfId="825"/>
    <cellStyle name="20% - Accent1 2 2 5 2" xfId="826"/>
    <cellStyle name="20% - Accent1 2 2 5 3" xfId="2948"/>
    <cellStyle name="20% - Accent1 2 2 6" xfId="827"/>
    <cellStyle name="20% - Accent1 2 2 7" xfId="2949"/>
    <cellStyle name="20% - Accent1 2 3" xfId="482"/>
    <cellStyle name="20% - Accent1 2 3 2" xfId="828"/>
    <cellStyle name="20% - Accent1 2 3 2 2" xfId="829"/>
    <cellStyle name="20% - Accent1 2 3 2 2 2" xfId="830"/>
    <cellStyle name="20% - Accent1 2 3 2 2 2 2" xfId="2950"/>
    <cellStyle name="20% - Accent1 2 3 2 2 3" xfId="831"/>
    <cellStyle name="20% - Accent1 2 3 2 2 4" xfId="2951"/>
    <cellStyle name="20% - Accent1 2 3 2 3" xfId="832"/>
    <cellStyle name="20% - Accent1 2 3 2 3 2" xfId="833"/>
    <cellStyle name="20% - Accent1 2 3 2 3 3" xfId="2952"/>
    <cellStyle name="20% - Accent1 2 3 2 4" xfId="834"/>
    <cellStyle name="20% - Accent1 2 3 2 5" xfId="2953"/>
    <cellStyle name="20% - Accent1 2 3 3" xfId="835"/>
    <cellStyle name="20% - Accent1 2 3 3 2" xfId="836"/>
    <cellStyle name="20% - Accent1 2 3 3 2 2" xfId="837"/>
    <cellStyle name="20% - Accent1 2 3 3 2 3" xfId="2954"/>
    <cellStyle name="20% - Accent1 2 3 3 3" xfId="838"/>
    <cellStyle name="20% - Accent1 2 3 3 4" xfId="2955"/>
    <cellStyle name="20% - Accent1 2 3 4" xfId="839"/>
    <cellStyle name="20% - Accent1 2 3 4 2" xfId="840"/>
    <cellStyle name="20% - Accent1 2 3 4 3" xfId="2956"/>
    <cellStyle name="20% - Accent1 2 3 5" xfId="841"/>
    <cellStyle name="20% - Accent1 2 3 6" xfId="2957"/>
    <cellStyle name="20% - Accent1 2 4" xfId="842"/>
    <cellStyle name="20% - Accent1 2 4 2" xfId="843"/>
    <cellStyle name="20% - Accent1 2 4 2 2" xfId="844"/>
    <cellStyle name="20% - Accent1 2 4 2 2 2" xfId="2958"/>
    <cellStyle name="20% - Accent1 2 4 2 3" xfId="845"/>
    <cellStyle name="20% - Accent1 2 4 2 4" xfId="2959"/>
    <cellStyle name="20% - Accent1 2 4 3" xfId="846"/>
    <cellStyle name="20% - Accent1 2 4 3 2" xfId="847"/>
    <cellStyle name="20% - Accent1 2 4 3 3" xfId="2960"/>
    <cellStyle name="20% - Accent1 2 4 4" xfId="848"/>
    <cellStyle name="20% - Accent1 2 4 5" xfId="2961"/>
    <cellStyle name="20% - Accent1 2 5" xfId="849"/>
    <cellStyle name="20% - Accent1 2 5 2" xfId="850"/>
    <cellStyle name="20% - Accent1 2 5 2 2" xfId="851"/>
    <cellStyle name="20% - Accent1 2 5 2 3" xfId="2962"/>
    <cellStyle name="20% - Accent1 2 5 3" xfId="852"/>
    <cellStyle name="20% - Accent1 2 5 4" xfId="2963"/>
    <cellStyle name="20% - Accent1 2 6" xfId="853"/>
    <cellStyle name="20% - Accent1 2 6 2" xfId="854"/>
    <cellStyle name="20% - Accent1 2 6 3" xfId="2964"/>
    <cellStyle name="20% - Accent1 2 7" xfId="855"/>
    <cellStyle name="20% - Accent1 2 8" xfId="2965"/>
    <cellStyle name="20% - Accent1 3" xfId="483"/>
    <cellStyle name="20% - Accent1 3 2" xfId="484"/>
    <cellStyle name="20% - Accent1 3 2 2" xfId="856"/>
    <cellStyle name="20% - Accent1 3 2 2 2" xfId="857"/>
    <cellStyle name="20% - Accent1 3 2 2 2 2" xfId="858"/>
    <cellStyle name="20% - Accent1 3 2 2 2 2 2" xfId="2966"/>
    <cellStyle name="20% - Accent1 3 2 2 2 3" xfId="859"/>
    <cellStyle name="20% - Accent1 3 2 2 2 4" xfId="2967"/>
    <cellStyle name="20% - Accent1 3 2 2 3" xfId="860"/>
    <cellStyle name="20% - Accent1 3 2 2 3 2" xfId="861"/>
    <cellStyle name="20% - Accent1 3 2 2 3 3" xfId="2968"/>
    <cellStyle name="20% - Accent1 3 2 2 4" xfId="862"/>
    <cellStyle name="20% - Accent1 3 2 2 5" xfId="2969"/>
    <cellStyle name="20% - Accent1 3 2 3" xfId="863"/>
    <cellStyle name="20% - Accent1 3 2 3 2" xfId="864"/>
    <cellStyle name="20% - Accent1 3 2 3 2 2" xfId="865"/>
    <cellStyle name="20% - Accent1 3 2 3 2 3" xfId="2970"/>
    <cellStyle name="20% - Accent1 3 2 3 3" xfId="866"/>
    <cellStyle name="20% - Accent1 3 2 3 4" xfId="2971"/>
    <cellStyle name="20% - Accent1 3 2 4" xfId="867"/>
    <cellStyle name="20% - Accent1 3 2 4 2" xfId="868"/>
    <cellStyle name="20% - Accent1 3 2 4 3" xfId="2972"/>
    <cellStyle name="20% - Accent1 3 2 5" xfId="869"/>
    <cellStyle name="20% - Accent1 3 2 6" xfId="2973"/>
    <cellStyle name="20% - Accent1 3 3" xfId="485"/>
    <cellStyle name="20% - Accent1 3 3 2" xfId="870"/>
    <cellStyle name="20% - Accent1 3 3 2 2" xfId="871"/>
    <cellStyle name="20% - Accent1 3 3 2 2 2" xfId="2974"/>
    <cellStyle name="20% - Accent1 3 3 2 3" xfId="872"/>
    <cellStyle name="20% - Accent1 3 3 2 4" xfId="2975"/>
    <cellStyle name="20% - Accent1 3 3 3" xfId="873"/>
    <cellStyle name="20% - Accent1 3 3 3 2" xfId="874"/>
    <cellStyle name="20% - Accent1 3 3 3 3" xfId="2976"/>
    <cellStyle name="20% - Accent1 3 3 4" xfId="875"/>
    <cellStyle name="20% - Accent1 3 3 5" xfId="2977"/>
    <cellStyle name="20% - Accent1 3 4" xfId="876"/>
    <cellStyle name="20% - Accent1 3 4 2" xfId="877"/>
    <cellStyle name="20% - Accent1 3 4 2 2" xfId="878"/>
    <cellStyle name="20% - Accent1 3 4 2 3" xfId="2978"/>
    <cellStyle name="20% - Accent1 3 4 3" xfId="879"/>
    <cellStyle name="20% - Accent1 3 4 4" xfId="2979"/>
    <cellStyle name="20% - Accent1 3 5" xfId="880"/>
    <cellStyle name="20% - Accent1 3 5 2" xfId="881"/>
    <cellStyle name="20% - Accent1 3 5 3" xfId="2980"/>
    <cellStyle name="20% - Accent1 3 6" xfId="882"/>
    <cellStyle name="20% - Accent1 3 7" xfId="2981"/>
    <cellStyle name="20% - Accent1 4" xfId="486"/>
    <cellStyle name="20% - Accent1 4 2" xfId="883"/>
    <cellStyle name="20% - Accent1 4 2 2" xfId="884"/>
    <cellStyle name="20% - Accent1 4 2 2 2" xfId="885"/>
    <cellStyle name="20% - Accent1 4 2 2 2 2" xfId="2982"/>
    <cellStyle name="20% - Accent1 4 2 2 3" xfId="886"/>
    <cellStyle name="20% - Accent1 4 2 2 4" xfId="2983"/>
    <cellStyle name="20% - Accent1 4 2 3" xfId="887"/>
    <cellStyle name="20% - Accent1 4 2 3 2" xfId="888"/>
    <cellStyle name="20% - Accent1 4 2 3 3" xfId="2984"/>
    <cellStyle name="20% - Accent1 4 2 4" xfId="889"/>
    <cellStyle name="20% - Accent1 4 2 5" xfId="2985"/>
    <cellStyle name="20% - Accent1 4 3" xfId="890"/>
    <cellStyle name="20% - Accent1 4 3 2" xfId="891"/>
    <cellStyle name="20% - Accent1 4 3 2 2" xfId="892"/>
    <cellStyle name="20% - Accent1 4 3 2 3" xfId="2986"/>
    <cellStyle name="20% - Accent1 4 3 3" xfId="893"/>
    <cellStyle name="20% - Accent1 4 3 4" xfId="2987"/>
    <cellStyle name="20% - Accent1 4 4" xfId="894"/>
    <cellStyle name="20% - Accent1 4 4 2" xfId="895"/>
    <cellStyle name="20% - Accent1 4 4 3" xfId="2988"/>
    <cellStyle name="20% - Accent1 4 5" xfId="896"/>
    <cellStyle name="20% - Accent1 4 6" xfId="2989"/>
    <cellStyle name="20% - Accent1 5" xfId="897"/>
    <cellStyle name="20% - Accent1 5 2" xfId="898"/>
    <cellStyle name="20% - Accent1 5 2 2" xfId="899"/>
    <cellStyle name="20% - Accent1 5 2 2 2" xfId="900"/>
    <cellStyle name="20% - Accent1 5 2 2 3" xfId="2990"/>
    <cellStyle name="20% - Accent1 5 2 3" xfId="901"/>
    <cellStyle name="20% - Accent1 5 2 4" xfId="2991"/>
    <cellStyle name="20% - Accent1 5 3" xfId="902"/>
    <cellStyle name="20% - Accent1 5 3 2" xfId="903"/>
    <cellStyle name="20% - Accent1 5 3 3" xfId="2992"/>
    <cellStyle name="20% - Accent1 5 4" xfId="904"/>
    <cellStyle name="20% - Accent1 5 5" xfId="2993"/>
    <cellStyle name="20% - Accent1 6" xfId="905"/>
    <cellStyle name="20% - Accent1 6 2" xfId="906"/>
    <cellStyle name="20% - Accent1 6 2 2" xfId="907"/>
    <cellStyle name="20% - Accent1 6 2 3" xfId="2994"/>
    <cellStyle name="20% - Accent1 6 3" xfId="908"/>
    <cellStyle name="20% - Accent1 6 4" xfId="909"/>
    <cellStyle name="20% - Accent1 6 5" xfId="2995"/>
    <cellStyle name="20% - Accent1 7" xfId="910"/>
    <cellStyle name="20% - Accent1 7 2" xfId="911"/>
    <cellStyle name="20% - Accent1 7 3" xfId="2996"/>
    <cellStyle name="20% - Accent1 8" xfId="912"/>
    <cellStyle name="20% - Accent1 9" xfId="2997"/>
    <cellStyle name="20% - Accent2 2" xfId="487"/>
    <cellStyle name="20% - Accent2 2 2" xfId="488"/>
    <cellStyle name="20% - Accent2 2 2 2" xfId="913"/>
    <cellStyle name="20% - Accent2 2 2 2 2" xfId="914"/>
    <cellStyle name="20% - Accent2 2 2 2 2 2" xfId="915"/>
    <cellStyle name="20% - Accent2 2 2 2 2 2 2" xfId="916"/>
    <cellStyle name="20% - Accent2 2 2 2 2 2 2 2" xfId="2998"/>
    <cellStyle name="20% - Accent2 2 2 2 2 2 3" xfId="917"/>
    <cellStyle name="20% - Accent2 2 2 2 2 2 4" xfId="2999"/>
    <cellStyle name="20% - Accent2 2 2 2 2 3" xfId="918"/>
    <cellStyle name="20% - Accent2 2 2 2 2 3 2" xfId="919"/>
    <cellStyle name="20% - Accent2 2 2 2 2 3 3" xfId="3000"/>
    <cellStyle name="20% - Accent2 2 2 2 2 4" xfId="920"/>
    <cellStyle name="20% - Accent2 2 2 2 2 5" xfId="3001"/>
    <cellStyle name="20% - Accent2 2 2 2 3" xfId="921"/>
    <cellStyle name="20% - Accent2 2 2 2 3 2" xfId="922"/>
    <cellStyle name="20% - Accent2 2 2 2 3 2 2" xfId="923"/>
    <cellStyle name="20% - Accent2 2 2 2 3 2 3" xfId="3002"/>
    <cellStyle name="20% - Accent2 2 2 2 3 3" xfId="924"/>
    <cellStyle name="20% - Accent2 2 2 2 3 4" xfId="3003"/>
    <cellStyle name="20% - Accent2 2 2 2 4" xfId="925"/>
    <cellStyle name="20% - Accent2 2 2 2 4 2" xfId="926"/>
    <cellStyle name="20% - Accent2 2 2 2 4 3" xfId="3004"/>
    <cellStyle name="20% - Accent2 2 2 2 5" xfId="927"/>
    <cellStyle name="20% - Accent2 2 2 2 6" xfId="3005"/>
    <cellStyle name="20% - Accent2 2 2 3" xfId="928"/>
    <cellStyle name="20% - Accent2 2 2 3 2" xfId="929"/>
    <cellStyle name="20% - Accent2 2 2 3 2 2" xfId="930"/>
    <cellStyle name="20% - Accent2 2 2 3 2 2 2" xfId="3006"/>
    <cellStyle name="20% - Accent2 2 2 3 2 3" xfId="931"/>
    <cellStyle name="20% - Accent2 2 2 3 2 4" xfId="3007"/>
    <cellStyle name="20% - Accent2 2 2 3 3" xfId="932"/>
    <cellStyle name="20% - Accent2 2 2 3 3 2" xfId="933"/>
    <cellStyle name="20% - Accent2 2 2 3 3 3" xfId="3008"/>
    <cellStyle name="20% - Accent2 2 2 3 4" xfId="934"/>
    <cellStyle name="20% - Accent2 2 2 3 5" xfId="3009"/>
    <cellStyle name="20% - Accent2 2 2 4" xfId="935"/>
    <cellStyle name="20% - Accent2 2 2 4 2" xfId="936"/>
    <cellStyle name="20% - Accent2 2 2 4 2 2" xfId="937"/>
    <cellStyle name="20% - Accent2 2 2 4 2 3" xfId="3010"/>
    <cellStyle name="20% - Accent2 2 2 4 3" xfId="938"/>
    <cellStyle name="20% - Accent2 2 2 4 4" xfId="3011"/>
    <cellStyle name="20% - Accent2 2 2 5" xfId="939"/>
    <cellStyle name="20% - Accent2 2 2 5 2" xfId="940"/>
    <cellStyle name="20% - Accent2 2 2 5 3" xfId="3012"/>
    <cellStyle name="20% - Accent2 2 2 6" xfId="941"/>
    <cellStyle name="20% - Accent2 2 2 7" xfId="3013"/>
    <cellStyle name="20% - Accent2 2 3" xfId="489"/>
    <cellStyle name="20% - Accent2 2 3 2" xfId="942"/>
    <cellStyle name="20% - Accent2 2 3 2 2" xfId="943"/>
    <cellStyle name="20% - Accent2 2 3 2 2 2" xfId="944"/>
    <cellStyle name="20% - Accent2 2 3 2 2 2 2" xfId="3014"/>
    <cellStyle name="20% - Accent2 2 3 2 2 3" xfId="945"/>
    <cellStyle name="20% - Accent2 2 3 2 2 4" xfId="3015"/>
    <cellStyle name="20% - Accent2 2 3 2 3" xfId="946"/>
    <cellStyle name="20% - Accent2 2 3 2 3 2" xfId="947"/>
    <cellStyle name="20% - Accent2 2 3 2 3 3" xfId="3016"/>
    <cellStyle name="20% - Accent2 2 3 2 4" xfId="948"/>
    <cellStyle name="20% - Accent2 2 3 2 5" xfId="3017"/>
    <cellStyle name="20% - Accent2 2 3 3" xfId="949"/>
    <cellStyle name="20% - Accent2 2 3 3 2" xfId="950"/>
    <cellStyle name="20% - Accent2 2 3 3 2 2" xfId="951"/>
    <cellStyle name="20% - Accent2 2 3 3 2 3" xfId="3018"/>
    <cellStyle name="20% - Accent2 2 3 3 3" xfId="952"/>
    <cellStyle name="20% - Accent2 2 3 3 4" xfId="3019"/>
    <cellStyle name="20% - Accent2 2 3 4" xfId="953"/>
    <cellStyle name="20% - Accent2 2 3 4 2" xfId="954"/>
    <cellStyle name="20% - Accent2 2 3 4 3" xfId="3020"/>
    <cellStyle name="20% - Accent2 2 3 5" xfId="955"/>
    <cellStyle name="20% - Accent2 2 3 6" xfId="3021"/>
    <cellStyle name="20% - Accent2 2 4" xfId="956"/>
    <cellStyle name="20% - Accent2 2 4 2" xfId="957"/>
    <cellStyle name="20% - Accent2 2 4 2 2" xfId="958"/>
    <cellStyle name="20% - Accent2 2 4 2 2 2" xfId="3022"/>
    <cellStyle name="20% - Accent2 2 4 2 3" xfId="959"/>
    <cellStyle name="20% - Accent2 2 4 2 4" xfId="3023"/>
    <cellStyle name="20% - Accent2 2 4 3" xfId="960"/>
    <cellStyle name="20% - Accent2 2 4 3 2" xfId="961"/>
    <cellStyle name="20% - Accent2 2 4 3 3" xfId="3024"/>
    <cellStyle name="20% - Accent2 2 4 4" xfId="962"/>
    <cellStyle name="20% - Accent2 2 4 5" xfId="3025"/>
    <cellStyle name="20% - Accent2 2 5" xfId="963"/>
    <cellStyle name="20% - Accent2 2 5 2" xfId="964"/>
    <cellStyle name="20% - Accent2 2 5 2 2" xfId="965"/>
    <cellStyle name="20% - Accent2 2 5 2 3" xfId="3026"/>
    <cellStyle name="20% - Accent2 2 5 3" xfId="966"/>
    <cellStyle name="20% - Accent2 2 5 4" xfId="3027"/>
    <cellStyle name="20% - Accent2 2 6" xfId="967"/>
    <cellStyle name="20% - Accent2 2 6 2" xfId="968"/>
    <cellStyle name="20% - Accent2 2 6 3" xfId="3028"/>
    <cellStyle name="20% - Accent2 2 7" xfId="969"/>
    <cellStyle name="20% - Accent2 2 8" xfId="3029"/>
    <cellStyle name="20% - Accent2 3" xfId="490"/>
    <cellStyle name="20% - Accent2 3 2" xfId="491"/>
    <cellStyle name="20% - Accent2 3 2 2" xfId="970"/>
    <cellStyle name="20% - Accent2 3 2 2 2" xfId="971"/>
    <cellStyle name="20% - Accent2 3 2 2 2 2" xfId="972"/>
    <cellStyle name="20% - Accent2 3 2 2 2 2 2" xfId="3030"/>
    <cellStyle name="20% - Accent2 3 2 2 2 3" xfId="973"/>
    <cellStyle name="20% - Accent2 3 2 2 2 4" xfId="3031"/>
    <cellStyle name="20% - Accent2 3 2 2 3" xfId="974"/>
    <cellStyle name="20% - Accent2 3 2 2 3 2" xfId="975"/>
    <cellStyle name="20% - Accent2 3 2 2 3 3" xfId="3032"/>
    <cellStyle name="20% - Accent2 3 2 2 4" xfId="976"/>
    <cellStyle name="20% - Accent2 3 2 2 5" xfId="3033"/>
    <cellStyle name="20% - Accent2 3 2 3" xfId="977"/>
    <cellStyle name="20% - Accent2 3 2 3 2" xfId="978"/>
    <cellStyle name="20% - Accent2 3 2 3 2 2" xfId="979"/>
    <cellStyle name="20% - Accent2 3 2 3 2 3" xfId="3034"/>
    <cellStyle name="20% - Accent2 3 2 3 3" xfId="980"/>
    <cellStyle name="20% - Accent2 3 2 3 4" xfId="3035"/>
    <cellStyle name="20% - Accent2 3 2 4" xfId="981"/>
    <cellStyle name="20% - Accent2 3 2 4 2" xfId="982"/>
    <cellStyle name="20% - Accent2 3 2 4 3" xfId="3036"/>
    <cellStyle name="20% - Accent2 3 2 5" xfId="983"/>
    <cellStyle name="20% - Accent2 3 2 6" xfId="3037"/>
    <cellStyle name="20% - Accent2 3 3" xfId="492"/>
    <cellStyle name="20% - Accent2 3 3 2" xfId="984"/>
    <cellStyle name="20% - Accent2 3 3 2 2" xfId="985"/>
    <cellStyle name="20% - Accent2 3 3 2 2 2" xfId="3038"/>
    <cellStyle name="20% - Accent2 3 3 2 3" xfId="986"/>
    <cellStyle name="20% - Accent2 3 3 2 4" xfId="3039"/>
    <cellStyle name="20% - Accent2 3 3 3" xfId="987"/>
    <cellStyle name="20% - Accent2 3 3 3 2" xfId="988"/>
    <cellStyle name="20% - Accent2 3 3 3 3" xfId="3040"/>
    <cellStyle name="20% - Accent2 3 3 4" xfId="989"/>
    <cellStyle name="20% - Accent2 3 3 5" xfId="3041"/>
    <cellStyle name="20% - Accent2 3 4" xfId="990"/>
    <cellStyle name="20% - Accent2 3 4 2" xfId="991"/>
    <cellStyle name="20% - Accent2 3 4 2 2" xfId="992"/>
    <cellStyle name="20% - Accent2 3 4 2 3" xfId="3042"/>
    <cellStyle name="20% - Accent2 3 4 3" xfId="993"/>
    <cellStyle name="20% - Accent2 3 4 4" xfId="3043"/>
    <cellStyle name="20% - Accent2 3 5" xfId="994"/>
    <cellStyle name="20% - Accent2 3 5 2" xfId="995"/>
    <cellStyle name="20% - Accent2 3 5 3" xfId="3044"/>
    <cellStyle name="20% - Accent2 3 6" xfId="996"/>
    <cellStyle name="20% - Accent2 3 7" xfId="3045"/>
    <cellStyle name="20% - Accent2 4" xfId="493"/>
    <cellStyle name="20% - Accent2 4 2" xfId="997"/>
    <cellStyle name="20% - Accent2 4 2 2" xfId="998"/>
    <cellStyle name="20% - Accent2 4 2 2 2" xfId="999"/>
    <cellStyle name="20% - Accent2 4 2 2 2 2" xfId="3046"/>
    <cellStyle name="20% - Accent2 4 2 2 3" xfId="1000"/>
    <cellStyle name="20% - Accent2 4 2 2 4" xfId="3047"/>
    <cellStyle name="20% - Accent2 4 2 3" xfId="1001"/>
    <cellStyle name="20% - Accent2 4 2 3 2" xfId="1002"/>
    <cellStyle name="20% - Accent2 4 2 3 3" xfId="3048"/>
    <cellStyle name="20% - Accent2 4 2 4" xfId="1003"/>
    <cellStyle name="20% - Accent2 4 2 5" xfId="3049"/>
    <cellStyle name="20% - Accent2 4 3" xfId="1004"/>
    <cellStyle name="20% - Accent2 4 3 2" xfId="1005"/>
    <cellStyle name="20% - Accent2 4 3 2 2" xfId="1006"/>
    <cellStyle name="20% - Accent2 4 3 2 3" xfId="3050"/>
    <cellStyle name="20% - Accent2 4 3 3" xfId="1007"/>
    <cellStyle name="20% - Accent2 4 3 4" xfId="3051"/>
    <cellStyle name="20% - Accent2 4 4" xfId="1008"/>
    <cellStyle name="20% - Accent2 4 4 2" xfId="1009"/>
    <cellStyle name="20% - Accent2 4 4 3" xfId="3052"/>
    <cellStyle name="20% - Accent2 4 5" xfId="1010"/>
    <cellStyle name="20% - Accent2 4 6" xfId="3053"/>
    <cellStyle name="20% - Accent2 5" xfId="1011"/>
    <cellStyle name="20% - Accent2 5 2" xfId="1012"/>
    <cellStyle name="20% - Accent2 5 2 2" xfId="1013"/>
    <cellStyle name="20% - Accent2 5 2 2 2" xfId="1014"/>
    <cellStyle name="20% - Accent2 5 2 2 3" xfId="3054"/>
    <cellStyle name="20% - Accent2 5 2 3" xfId="1015"/>
    <cellStyle name="20% - Accent2 5 2 4" xfId="3055"/>
    <cellStyle name="20% - Accent2 5 3" xfId="1016"/>
    <cellStyle name="20% - Accent2 5 3 2" xfId="1017"/>
    <cellStyle name="20% - Accent2 5 3 3" xfId="3056"/>
    <cellStyle name="20% - Accent2 5 4" xfId="1018"/>
    <cellStyle name="20% - Accent2 5 5" xfId="3057"/>
    <cellStyle name="20% - Accent2 6" xfId="1019"/>
    <cellStyle name="20% - Accent2 6 2" xfId="1020"/>
    <cellStyle name="20% - Accent2 6 2 2" xfId="1021"/>
    <cellStyle name="20% - Accent2 6 2 3" xfId="3058"/>
    <cellStyle name="20% - Accent2 6 3" xfId="1022"/>
    <cellStyle name="20% - Accent2 6 4" xfId="1023"/>
    <cellStyle name="20% - Accent2 6 5" xfId="3059"/>
    <cellStyle name="20% - Accent2 7" xfId="1024"/>
    <cellStyle name="20% - Accent2 7 2" xfId="1025"/>
    <cellStyle name="20% - Accent2 7 3" xfId="3060"/>
    <cellStyle name="20% - Accent2 8" xfId="1026"/>
    <cellStyle name="20% - Accent2 9" xfId="3061"/>
    <cellStyle name="20% - Accent3 2" xfId="494"/>
    <cellStyle name="20% - Accent3 2 2" xfId="495"/>
    <cellStyle name="20% - Accent3 2 2 2" xfId="1027"/>
    <cellStyle name="20% - Accent3 2 2 2 2" xfId="1028"/>
    <cellStyle name="20% - Accent3 2 2 2 2 2" xfId="1029"/>
    <cellStyle name="20% - Accent3 2 2 2 2 2 2" xfId="1030"/>
    <cellStyle name="20% - Accent3 2 2 2 2 2 2 2" xfId="3062"/>
    <cellStyle name="20% - Accent3 2 2 2 2 2 3" xfId="1031"/>
    <cellStyle name="20% - Accent3 2 2 2 2 2 4" xfId="3063"/>
    <cellStyle name="20% - Accent3 2 2 2 2 3" xfId="1032"/>
    <cellStyle name="20% - Accent3 2 2 2 2 3 2" xfId="1033"/>
    <cellStyle name="20% - Accent3 2 2 2 2 3 3" xfId="3064"/>
    <cellStyle name="20% - Accent3 2 2 2 2 4" xfId="1034"/>
    <cellStyle name="20% - Accent3 2 2 2 2 5" xfId="3065"/>
    <cellStyle name="20% - Accent3 2 2 2 3" xfId="1035"/>
    <cellStyle name="20% - Accent3 2 2 2 3 2" xfId="1036"/>
    <cellStyle name="20% - Accent3 2 2 2 3 2 2" xfId="1037"/>
    <cellStyle name="20% - Accent3 2 2 2 3 2 3" xfId="3066"/>
    <cellStyle name="20% - Accent3 2 2 2 3 3" xfId="1038"/>
    <cellStyle name="20% - Accent3 2 2 2 3 4" xfId="3067"/>
    <cellStyle name="20% - Accent3 2 2 2 4" xfId="1039"/>
    <cellStyle name="20% - Accent3 2 2 2 4 2" xfId="1040"/>
    <cellStyle name="20% - Accent3 2 2 2 4 3" xfId="3068"/>
    <cellStyle name="20% - Accent3 2 2 2 5" xfId="1041"/>
    <cellStyle name="20% - Accent3 2 2 2 6" xfId="3069"/>
    <cellStyle name="20% - Accent3 2 2 3" xfId="1042"/>
    <cellStyle name="20% - Accent3 2 2 3 2" xfId="1043"/>
    <cellStyle name="20% - Accent3 2 2 3 2 2" xfId="1044"/>
    <cellStyle name="20% - Accent3 2 2 3 2 2 2" xfId="3070"/>
    <cellStyle name="20% - Accent3 2 2 3 2 3" xfId="1045"/>
    <cellStyle name="20% - Accent3 2 2 3 2 4" xfId="3071"/>
    <cellStyle name="20% - Accent3 2 2 3 3" xfId="1046"/>
    <cellStyle name="20% - Accent3 2 2 3 3 2" xfId="1047"/>
    <cellStyle name="20% - Accent3 2 2 3 3 3" xfId="3072"/>
    <cellStyle name="20% - Accent3 2 2 3 4" xfId="1048"/>
    <cellStyle name="20% - Accent3 2 2 3 5" xfId="3073"/>
    <cellStyle name="20% - Accent3 2 2 4" xfId="1049"/>
    <cellStyle name="20% - Accent3 2 2 4 2" xfId="1050"/>
    <cellStyle name="20% - Accent3 2 2 4 2 2" xfId="1051"/>
    <cellStyle name="20% - Accent3 2 2 4 2 3" xfId="3074"/>
    <cellStyle name="20% - Accent3 2 2 4 3" xfId="1052"/>
    <cellStyle name="20% - Accent3 2 2 4 4" xfId="3075"/>
    <cellStyle name="20% - Accent3 2 2 5" xfId="1053"/>
    <cellStyle name="20% - Accent3 2 2 5 2" xfId="1054"/>
    <cellStyle name="20% - Accent3 2 2 5 3" xfId="3076"/>
    <cellStyle name="20% - Accent3 2 2 6" xfId="1055"/>
    <cellStyle name="20% - Accent3 2 2 7" xfId="3077"/>
    <cellStyle name="20% - Accent3 2 3" xfId="496"/>
    <cellStyle name="20% - Accent3 2 3 2" xfId="1056"/>
    <cellStyle name="20% - Accent3 2 3 2 2" xfId="1057"/>
    <cellStyle name="20% - Accent3 2 3 2 2 2" xfId="1058"/>
    <cellStyle name="20% - Accent3 2 3 2 2 2 2" xfId="3078"/>
    <cellStyle name="20% - Accent3 2 3 2 2 3" xfId="1059"/>
    <cellStyle name="20% - Accent3 2 3 2 2 4" xfId="3079"/>
    <cellStyle name="20% - Accent3 2 3 2 3" xfId="1060"/>
    <cellStyle name="20% - Accent3 2 3 2 3 2" xfId="1061"/>
    <cellStyle name="20% - Accent3 2 3 2 3 3" xfId="3080"/>
    <cellStyle name="20% - Accent3 2 3 2 4" xfId="1062"/>
    <cellStyle name="20% - Accent3 2 3 2 5" xfId="3081"/>
    <cellStyle name="20% - Accent3 2 3 3" xfId="1063"/>
    <cellStyle name="20% - Accent3 2 3 3 2" xfId="1064"/>
    <cellStyle name="20% - Accent3 2 3 3 2 2" xfId="1065"/>
    <cellStyle name="20% - Accent3 2 3 3 2 3" xfId="3082"/>
    <cellStyle name="20% - Accent3 2 3 3 3" xfId="1066"/>
    <cellStyle name="20% - Accent3 2 3 3 4" xfId="3083"/>
    <cellStyle name="20% - Accent3 2 3 4" xfId="1067"/>
    <cellStyle name="20% - Accent3 2 3 4 2" xfId="1068"/>
    <cellStyle name="20% - Accent3 2 3 4 3" xfId="3084"/>
    <cellStyle name="20% - Accent3 2 3 5" xfId="1069"/>
    <cellStyle name="20% - Accent3 2 3 6" xfId="3085"/>
    <cellStyle name="20% - Accent3 2 4" xfId="1070"/>
    <cellStyle name="20% - Accent3 2 4 2" xfId="1071"/>
    <cellStyle name="20% - Accent3 2 4 2 2" xfId="1072"/>
    <cellStyle name="20% - Accent3 2 4 2 2 2" xfId="3086"/>
    <cellStyle name="20% - Accent3 2 4 2 3" xfId="1073"/>
    <cellStyle name="20% - Accent3 2 4 2 4" xfId="3087"/>
    <cellStyle name="20% - Accent3 2 4 3" xfId="1074"/>
    <cellStyle name="20% - Accent3 2 4 3 2" xfId="1075"/>
    <cellStyle name="20% - Accent3 2 4 3 3" xfId="3088"/>
    <cellStyle name="20% - Accent3 2 4 4" xfId="1076"/>
    <cellStyle name="20% - Accent3 2 4 5" xfId="3089"/>
    <cellStyle name="20% - Accent3 2 5" xfId="1077"/>
    <cellStyle name="20% - Accent3 2 5 2" xfId="1078"/>
    <cellStyle name="20% - Accent3 2 5 2 2" xfId="1079"/>
    <cellStyle name="20% - Accent3 2 5 2 3" xfId="3090"/>
    <cellStyle name="20% - Accent3 2 5 3" xfId="1080"/>
    <cellStyle name="20% - Accent3 2 5 4" xfId="3091"/>
    <cellStyle name="20% - Accent3 2 6" xfId="1081"/>
    <cellStyle name="20% - Accent3 2 6 2" xfId="1082"/>
    <cellStyle name="20% - Accent3 2 6 3" xfId="3092"/>
    <cellStyle name="20% - Accent3 2 7" xfId="1083"/>
    <cellStyle name="20% - Accent3 2 8" xfId="3093"/>
    <cellStyle name="20% - Accent3 3" xfId="497"/>
    <cellStyle name="20% - Accent3 3 2" xfId="498"/>
    <cellStyle name="20% - Accent3 3 2 2" xfId="1084"/>
    <cellStyle name="20% - Accent3 3 2 2 2" xfId="1085"/>
    <cellStyle name="20% - Accent3 3 2 2 2 2" xfId="1086"/>
    <cellStyle name="20% - Accent3 3 2 2 2 2 2" xfId="3094"/>
    <cellStyle name="20% - Accent3 3 2 2 2 3" xfId="1087"/>
    <cellStyle name="20% - Accent3 3 2 2 2 4" xfId="3095"/>
    <cellStyle name="20% - Accent3 3 2 2 3" xfId="1088"/>
    <cellStyle name="20% - Accent3 3 2 2 3 2" xfId="1089"/>
    <cellStyle name="20% - Accent3 3 2 2 3 3" xfId="3096"/>
    <cellStyle name="20% - Accent3 3 2 2 4" xfId="1090"/>
    <cellStyle name="20% - Accent3 3 2 2 5" xfId="3097"/>
    <cellStyle name="20% - Accent3 3 2 3" xfId="1091"/>
    <cellStyle name="20% - Accent3 3 2 3 2" xfId="1092"/>
    <cellStyle name="20% - Accent3 3 2 3 2 2" xfId="1093"/>
    <cellStyle name="20% - Accent3 3 2 3 2 3" xfId="3098"/>
    <cellStyle name="20% - Accent3 3 2 3 3" xfId="1094"/>
    <cellStyle name="20% - Accent3 3 2 3 4" xfId="3099"/>
    <cellStyle name="20% - Accent3 3 2 4" xfId="1095"/>
    <cellStyle name="20% - Accent3 3 2 4 2" xfId="1096"/>
    <cellStyle name="20% - Accent3 3 2 4 3" xfId="3100"/>
    <cellStyle name="20% - Accent3 3 2 5" xfId="1097"/>
    <cellStyle name="20% - Accent3 3 2 6" xfId="3101"/>
    <cellStyle name="20% - Accent3 3 3" xfId="499"/>
    <cellStyle name="20% - Accent3 3 3 2" xfId="1098"/>
    <cellStyle name="20% - Accent3 3 3 2 2" xfId="1099"/>
    <cellStyle name="20% - Accent3 3 3 2 2 2" xfId="3102"/>
    <cellStyle name="20% - Accent3 3 3 2 3" xfId="1100"/>
    <cellStyle name="20% - Accent3 3 3 2 4" xfId="3103"/>
    <cellStyle name="20% - Accent3 3 3 3" xfId="1101"/>
    <cellStyle name="20% - Accent3 3 3 3 2" xfId="1102"/>
    <cellStyle name="20% - Accent3 3 3 3 3" xfId="3104"/>
    <cellStyle name="20% - Accent3 3 3 4" xfId="1103"/>
    <cellStyle name="20% - Accent3 3 3 5" xfId="3105"/>
    <cellStyle name="20% - Accent3 3 4" xfId="1104"/>
    <cellStyle name="20% - Accent3 3 4 2" xfId="1105"/>
    <cellStyle name="20% - Accent3 3 4 2 2" xfId="1106"/>
    <cellStyle name="20% - Accent3 3 4 2 3" xfId="3106"/>
    <cellStyle name="20% - Accent3 3 4 3" xfId="1107"/>
    <cellStyle name="20% - Accent3 3 4 4" xfId="3107"/>
    <cellStyle name="20% - Accent3 3 5" xfId="1108"/>
    <cellStyle name="20% - Accent3 3 5 2" xfId="1109"/>
    <cellStyle name="20% - Accent3 3 5 3" xfId="3108"/>
    <cellStyle name="20% - Accent3 3 6" xfId="1110"/>
    <cellStyle name="20% - Accent3 3 7" xfId="3109"/>
    <cellStyle name="20% - Accent3 4" xfId="500"/>
    <cellStyle name="20% - Accent3 4 2" xfId="1111"/>
    <cellStyle name="20% - Accent3 4 2 2" xfId="1112"/>
    <cellStyle name="20% - Accent3 4 2 2 2" xfId="1113"/>
    <cellStyle name="20% - Accent3 4 2 2 2 2" xfId="3110"/>
    <cellStyle name="20% - Accent3 4 2 2 3" xfId="1114"/>
    <cellStyle name="20% - Accent3 4 2 2 4" xfId="3111"/>
    <cellStyle name="20% - Accent3 4 2 3" xfId="1115"/>
    <cellStyle name="20% - Accent3 4 2 3 2" xfId="1116"/>
    <cellStyle name="20% - Accent3 4 2 3 3" xfId="3112"/>
    <cellStyle name="20% - Accent3 4 2 4" xfId="1117"/>
    <cellStyle name="20% - Accent3 4 2 5" xfId="3113"/>
    <cellStyle name="20% - Accent3 4 3" xfId="1118"/>
    <cellStyle name="20% - Accent3 4 3 2" xfId="1119"/>
    <cellStyle name="20% - Accent3 4 3 2 2" xfId="1120"/>
    <cellStyle name="20% - Accent3 4 3 2 3" xfId="3114"/>
    <cellStyle name="20% - Accent3 4 3 3" xfId="1121"/>
    <cellStyle name="20% - Accent3 4 3 4" xfId="3115"/>
    <cellStyle name="20% - Accent3 4 4" xfId="1122"/>
    <cellStyle name="20% - Accent3 4 4 2" xfId="1123"/>
    <cellStyle name="20% - Accent3 4 4 3" xfId="3116"/>
    <cellStyle name="20% - Accent3 4 5" xfId="1124"/>
    <cellStyle name="20% - Accent3 4 6" xfId="3117"/>
    <cellStyle name="20% - Accent3 5" xfId="1125"/>
    <cellStyle name="20% - Accent3 5 2" xfId="1126"/>
    <cellStyle name="20% - Accent3 5 2 2" xfId="1127"/>
    <cellStyle name="20% - Accent3 5 2 2 2" xfId="1128"/>
    <cellStyle name="20% - Accent3 5 2 2 3" xfId="3118"/>
    <cellStyle name="20% - Accent3 5 2 3" xfId="1129"/>
    <cellStyle name="20% - Accent3 5 2 4" xfId="3119"/>
    <cellStyle name="20% - Accent3 5 3" xfId="1130"/>
    <cellStyle name="20% - Accent3 5 3 2" xfId="1131"/>
    <cellStyle name="20% - Accent3 5 3 3" xfId="3120"/>
    <cellStyle name="20% - Accent3 5 4" xfId="1132"/>
    <cellStyle name="20% - Accent3 5 5" xfId="3121"/>
    <cellStyle name="20% - Accent3 6" xfId="1133"/>
    <cellStyle name="20% - Accent3 6 2" xfId="1134"/>
    <cellStyle name="20% - Accent3 6 2 2" xfId="1135"/>
    <cellStyle name="20% - Accent3 6 2 3" xfId="3122"/>
    <cellStyle name="20% - Accent3 6 3" xfId="1136"/>
    <cellStyle name="20% - Accent3 6 4" xfId="1137"/>
    <cellStyle name="20% - Accent3 6 5" xfId="3123"/>
    <cellStyle name="20% - Accent3 7" xfId="1138"/>
    <cellStyle name="20% - Accent3 7 2" xfId="1139"/>
    <cellStyle name="20% - Accent3 7 3" xfId="3124"/>
    <cellStyle name="20% - Accent3 8" xfId="1140"/>
    <cellStyle name="20% - Accent3 9" xfId="3125"/>
    <cellStyle name="20% - Accent4 2" xfId="501"/>
    <cellStyle name="20% - Accent4 2 2" xfId="502"/>
    <cellStyle name="20% - Accent4 2 2 2" xfId="1141"/>
    <cellStyle name="20% - Accent4 2 2 2 2" xfId="1142"/>
    <cellStyle name="20% - Accent4 2 2 2 2 2" xfId="1143"/>
    <cellStyle name="20% - Accent4 2 2 2 2 2 2" xfId="1144"/>
    <cellStyle name="20% - Accent4 2 2 2 2 3" xfId="1145"/>
    <cellStyle name="20% - Accent4 2 2 2 3" xfId="1146"/>
    <cellStyle name="20% - Accent4 2 2 2 3 2" xfId="1147"/>
    <cellStyle name="20% - Accent4 2 2 2 4" xfId="1148"/>
    <cellStyle name="20% - Accent4 2 2 3" xfId="1149"/>
    <cellStyle name="20% - Accent4 2 2 3 2" xfId="1150"/>
    <cellStyle name="20% - Accent4 2 2 3 2 2" xfId="1151"/>
    <cellStyle name="20% - Accent4 2 2 3 3" xfId="1152"/>
    <cellStyle name="20% - Accent4 2 2 4" xfId="1153"/>
    <cellStyle name="20% - Accent4 2 2 4 2" xfId="1154"/>
    <cellStyle name="20% - Accent4 2 2 5" xfId="1155"/>
    <cellStyle name="20% - Accent4 2 3" xfId="503"/>
    <cellStyle name="20% - Accent4 2 3 2" xfId="1156"/>
    <cellStyle name="20% - Accent4 2 3 2 2" xfId="1157"/>
    <cellStyle name="20% - Accent4 2 3 2 2 2" xfId="1158"/>
    <cellStyle name="20% - Accent4 2 3 2 3" xfId="1159"/>
    <cellStyle name="20% - Accent4 2 3 3" xfId="1160"/>
    <cellStyle name="20% - Accent4 2 3 3 2" xfId="1161"/>
    <cellStyle name="20% - Accent4 2 3 4" xfId="1162"/>
    <cellStyle name="20% - Accent4 2 4" xfId="1163"/>
    <cellStyle name="20% - Accent4 2 4 2" xfId="1164"/>
    <cellStyle name="20% - Accent4 2 4 2 2" xfId="1165"/>
    <cellStyle name="20% - Accent4 2 4 3" xfId="1166"/>
    <cellStyle name="20% - Accent4 2 5" xfId="1167"/>
    <cellStyle name="20% - Accent4 2 5 2" xfId="1168"/>
    <cellStyle name="20% - Accent4 2 6" xfId="1169"/>
    <cellStyle name="20% - Accent4 3" xfId="504"/>
    <cellStyle name="20% - Accent4 3 2" xfId="505"/>
    <cellStyle name="20% - Accent4 3 2 2" xfId="1170"/>
    <cellStyle name="20% - Accent4 3 2 2 2" xfId="1171"/>
    <cellStyle name="20% - Accent4 3 2 2 2 2" xfId="1172"/>
    <cellStyle name="20% - Accent4 3 2 2 3" xfId="1173"/>
    <cellStyle name="20% - Accent4 3 2 3" xfId="1174"/>
    <cellStyle name="20% - Accent4 3 2 3 2" xfId="1175"/>
    <cellStyle name="20% - Accent4 3 2 4" xfId="1176"/>
    <cellStyle name="20% - Accent4 3 3" xfId="506"/>
    <cellStyle name="20% - Accent4 3 3 2" xfId="1177"/>
    <cellStyle name="20% - Accent4 3 3 2 2" xfId="1178"/>
    <cellStyle name="20% - Accent4 3 3 3" xfId="1179"/>
    <cellStyle name="20% - Accent4 3 4" xfId="1180"/>
    <cellStyle name="20% - Accent4 3 4 2" xfId="1181"/>
    <cellStyle name="20% - Accent4 3 5" xfId="1182"/>
    <cellStyle name="20% - Accent4 4" xfId="507"/>
    <cellStyle name="20% - Accent4 4 2" xfId="1183"/>
    <cellStyle name="20% - Accent4 4 2 2" xfId="1184"/>
    <cellStyle name="20% - Accent4 4 2 2 2" xfId="1185"/>
    <cellStyle name="20% - Accent4 4 2 3" xfId="1186"/>
    <cellStyle name="20% - Accent4 4 3" xfId="1187"/>
    <cellStyle name="20% - Accent4 4 3 2" xfId="1188"/>
    <cellStyle name="20% - Accent4 4 4" xfId="1189"/>
    <cellStyle name="20% - Accent4 5" xfId="1190"/>
    <cellStyle name="20% - Accent4 5 2" xfId="1191"/>
    <cellStyle name="20% - Accent4 5 2 2" xfId="1192"/>
    <cellStyle name="20% - Accent4 5 3" xfId="1193"/>
    <cellStyle name="20% - Accent4 6" xfId="1194"/>
    <cellStyle name="20% - Accent4 6 2" xfId="1195"/>
    <cellStyle name="20% - Accent4 7" xfId="1196"/>
    <cellStyle name="20% - Accent5 2" xfId="508"/>
    <cellStyle name="20% - Accent5 2 2" xfId="509"/>
    <cellStyle name="20% - Accent5 2 2 2" xfId="1197"/>
    <cellStyle name="20% - Accent5 2 2 2 2" xfId="1198"/>
    <cellStyle name="20% - Accent5 2 2 2 2 2" xfId="1199"/>
    <cellStyle name="20% - Accent5 2 2 2 2 2 2" xfId="1200"/>
    <cellStyle name="20% - Accent5 2 2 2 2 2 2 2" xfId="3126"/>
    <cellStyle name="20% - Accent5 2 2 2 2 2 3" xfId="1201"/>
    <cellStyle name="20% - Accent5 2 2 2 2 2 4" xfId="3127"/>
    <cellStyle name="20% - Accent5 2 2 2 2 3" xfId="1202"/>
    <cellStyle name="20% - Accent5 2 2 2 2 3 2" xfId="1203"/>
    <cellStyle name="20% - Accent5 2 2 2 2 3 3" xfId="3128"/>
    <cellStyle name="20% - Accent5 2 2 2 2 4" xfId="1204"/>
    <cellStyle name="20% - Accent5 2 2 2 2 5" xfId="3129"/>
    <cellStyle name="20% - Accent5 2 2 2 3" xfId="1205"/>
    <cellStyle name="20% - Accent5 2 2 2 3 2" xfId="1206"/>
    <cellStyle name="20% - Accent5 2 2 2 3 2 2" xfId="1207"/>
    <cellStyle name="20% - Accent5 2 2 2 3 2 3" xfId="3130"/>
    <cellStyle name="20% - Accent5 2 2 2 3 3" xfId="1208"/>
    <cellStyle name="20% - Accent5 2 2 2 3 4" xfId="3131"/>
    <cellStyle name="20% - Accent5 2 2 2 4" xfId="1209"/>
    <cellStyle name="20% - Accent5 2 2 2 4 2" xfId="1210"/>
    <cellStyle name="20% - Accent5 2 2 2 4 3" xfId="3132"/>
    <cellStyle name="20% - Accent5 2 2 2 5" xfId="1211"/>
    <cellStyle name="20% - Accent5 2 2 2 6" xfId="3133"/>
    <cellStyle name="20% - Accent5 2 2 3" xfId="1212"/>
    <cellStyle name="20% - Accent5 2 2 3 2" xfId="1213"/>
    <cellStyle name="20% - Accent5 2 2 3 2 2" xfId="1214"/>
    <cellStyle name="20% - Accent5 2 2 3 2 2 2" xfId="3134"/>
    <cellStyle name="20% - Accent5 2 2 3 2 3" xfId="1215"/>
    <cellStyle name="20% - Accent5 2 2 3 2 4" xfId="3135"/>
    <cellStyle name="20% - Accent5 2 2 3 3" xfId="1216"/>
    <cellStyle name="20% - Accent5 2 2 3 3 2" xfId="1217"/>
    <cellStyle name="20% - Accent5 2 2 3 3 3" xfId="3136"/>
    <cellStyle name="20% - Accent5 2 2 3 4" xfId="1218"/>
    <cellStyle name="20% - Accent5 2 2 3 5" xfId="3137"/>
    <cellStyle name="20% - Accent5 2 2 4" xfId="1219"/>
    <cellStyle name="20% - Accent5 2 2 4 2" xfId="1220"/>
    <cellStyle name="20% - Accent5 2 2 4 2 2" xfId="1221"/>
    <cellStyle name="20% - Accent5 2 2 4 2 3" xfId="3138"/>
    <cellStyle name="20% - Accent5 2 2 4 3" xfId="1222"/>
    <cellStyle name="20% - Accent5 2 2 4 4" xfId="3139"/>
    <cellStyle name="20% - Accent5 2 2 5" xfId="1223"/>
    <cellStyle name="20% - Accent5 2 2 5 2" xfId="1224"/>
    <cellStyle name="20% - Accent5 2 2 5 3" xfId="3140"/>
    <cellStyle name="20% - Accent5 2 2 6" xfId="1225"/>
    <cellStyle name="20% - Accent5 2 2 7" xfId="3141"/>
    <cellStyle name="20% - Accent5 2 3" xfId="510"/>
    <cellStyle name="20% - Accent5 2 3 2" xfId="1226"/>
    <cellStyle name="20% - Accent5 2 3 2 2" xfId="1227"/>
    <cellStyle name="20% - Accent5 2 3 2 2 2" xfId="1228"/>
    <cellStyle name="20% - Accent5 2 3 2 2 2 2" xfId="3142"/>
    <cellStyle name="20% - Accent5 2 3 2 2 3" xfId="1229"/>
    <cellStyle name="20% - Accent5 2 3 2 2 4" xfId="3143"/>
    <cellStyle name="20% - Accent5 2 3 2 3" xfId="1230"/>
    <cellStyle name="20% - Accent5 2 3 2 3 2" xfId="1231"/>
    <cellStyle name="20% - Accent5 2 3 2 3 3" xfId="3144"/>
    <cellStyle name="20% - Accent5 2 3 2 4" xfId="1232"/>
    <cellStyle name="20% - Accent5 2 3 2 5" xfId="3145"/>
    <cellStyle name="20% - Accent5 2 3 3" xfId="1233"/>
    <cellStyle name="20% - Accent5 2 3 3 2" xfId="1234"/>
    <cellStyle name="20% - Accent5 2 3 3 2 2" xfId="1235"/>
    <cellStyle name="20% - Accent5 2 3 3 2 3" xfId="3146"/>
    <cellStyle name="20% - Accent5 2 3 3 3" xfId="1236"/>
    <cellStyle name="20% - Accent5 2 3 3 4" xfId="3147"/>
    <cellStyle name="20% - Accent5 2 3 4" xfId="1237"/>
    <cellStyle name="20% - Accent5 2 3 4 2" xfId="1238"/>
    <cellStyle name="20% - Accent5 2 3 4 3" xfId="3148"/>
    <cellStyle name="20% - Accent5 2 3 5" xfId="1239"/>
    <cellStyle name="20% - Accent5 2 3 6" xfId="3149"/>
    <cellStyle name="20% - Accent5 2 4" xfId="1240"/>
    <cellStyle name="20% - Accent5 2 4 2" xfId="1241"/>
    <cellStyle name="20% - Accent5 2 4 2 2" xfId="1242"/>
    <cellStyle name="20% - Accent5 2 4 2 2 2" xfId="3150"/>
    <cellStyle name="20% - Accent5 2 4 2 3" xfId="1243"/>
    <cellStyle name="20% - Accent5 2 4 2 4" xfId="3151"/>
    <cellStyle name="20% - Accent5 2 4 3" xfId="1244"/>
    <cellStyle name="20% - Accent5 2 4 3 2" xfId="1245"/>
    <cellStyle name="20% - Accent5 2 4 3 3" xfId="3152"/>
    <cellStyle name="20% - Accent5 2 4 4" xfId="1246"/>
    <cellStyle name="20% - Accent5 2 4 5" xfId="3153"/>
    <cellStyle name="20% - Accent5 2 5" xfId="1247"/>
    <cellStyle name="20% - Accent5 2 5 2" xfId="1248"/>
    <cellStyle name="20% - Accent5 2 5 2 2" xfId="1249"/>
    <cellStyle name="20% - Accent5 2 5 2 3" xfId="3154"/>
    <cellStyle name="20% - Accent5 2 5 3" xfId="1250"/>
    <cellStyle name="20% - Accent5 2 5 4" xfId="3155"/>
    <cellStyle name="20% - Accent5 2 6" xfId="1251"/>
    <cellStyle name="20% - Accent5 2 6 2" xfId="1252"/>
    <cellStyle name="20% - Accent5 2 6 3" xfId="3156"/>
    <cellStyle name="20% - Accent5 2 7" xfId="1253"/>
    <cellStyle name="20% - Accent5 2 8" xfId="3157"/>
    <cellStyle name="20% - Accent5 3" xfId="511"/>
    <cellStyle name="20% - Accent5 3 2" xfId="512"/>
    <cellStyle name="20% - Accent5 3 2 2" xfId="1254"/>
    <cellStyle name="20% - Accent5 3 2 2 2" xfId="1255"/>
    <cellStyle name="20% - Accent5 3 2 2 2 2" xfId="1256"/>
    <cellStyle name="20% - Accent5 3 2 2 2 2 2" xfId="3158"/>
    <cellStyle name="20% - Accent5 3 2 2 2 3" xfId="1257"/>
    <cellStyle name="20% - Accent5 3 2 2 2 4" xfId="3159"/>
    <cellStyle name="20% - Accent5 3 2 2 3" xfId="1258"/>
    <cellStyle name="20% - Accent5 3 2 2 3 2" xfId="1259"/>
    <cellStyle name="20% - Accent5 3 2 2 3 3" xfId="3160"/>
    <cellStyle name="20% - Accent5 3 2 2 4" xfId="1260"/>
    <cellStyle name="20% - Accent5 3 2 2 5" xfId="3161"/>
    <cellStyle name="20% - Accent5 3 2 3" xfId="1261"/>
    <cellStyle name="20% - Accent5 3 2 3 2" xfId="1262"/>
    <cellStyle name="20% - Accent5 3 2 3 2 2" xfId="1263"/>
    <cellStyle name="20% - Accent5 3 2 3 2 3" xfId="3162"/>
    <cellStyle name="20% - Accent5 3 2 3 3" xfId="1264"/>
    <cellStyle name="20% - Accent5 3 2 3 4" xfId="3163"/>
    <cellStyle name="20% - Accent5 3 2 4" xfId="1265"/>
    <cellStyle name="20% - Accent5 3 2 4 2" xfId="1266"/>
    <cellStyle name="20% - Accent5 3 2 4 3" xfId="3164"/>
    <cellStyle name="20% - Accent5 3 2 5" xfId="1267"/>
    <cellStyle name="20% - Accent5 3 2 6" xfId="3165"/>
    <cellStyle name="20% - Accent5 3 3" xfId="513"/>
    <cellStyle name="20% - Accent5 3 3 2" xfId="1268"/>
    <cellStyle name="20% - Accent5 3 3 2 2" xfId="1269"/>
    <cellStyle name="20% - Accent5 3 3 2 2 2" xfId="3166"/>
    <cellStyle name="20% - Accent5 3 3 2 3" xfId="1270"/>
    <cellStyle name="20% - Accent5 3 3 2 4" xfId="3167"/>
    <cellStyle name="20% - Accent5 3 3 3" xfId="1271"/>
    <cellStyle name="20% - Accent5 3 3 3 2" xfId="1272"/>
    <cellStyle name="20% - Accent5 3 3 3 3" xfId="3168"/>
    <cellStyle name="20% - Accent5 3 3 4" xfId="1273"/>
    <cellStyle name="20% - Accent5 3 3 5" xfId="3169"/>
    <cellStyle name="20% - Accent5 3 4" xfId="1274"/>
    <cellStyle name="20% - Accent5 3 4 2" xfId="1275"/>
    <cellStyle name="20% - Accent5 3 4 2 2" xfId="1276"/>
    <cellStyle name="20% - Accent5 3 4 2 3" xfId="3170"/>
    <cellStyle name="20% - Accent5 3 4 3" xfId="1277"/>
    <cellStyle name="20% - Accent5 3 4 4" xfId="3171"/>
    <cellStyle name="20% - Accent5 3 5" xfId="1278"/>
    <cellStyle name="20% - Accent5 3 5 2" xfId="1279"/>
    <cellStyle name="20% - Accent5 3 5 3" xfId="3172"/>
    <cellStyle name="20% - Accent5 3 6" xfId="1280"/>
    <cellStyle name="20% - Accent5 3 7" xfId="3173"/>
    <cellStyle name="20% - Accent5 4" xfId="514"/>
    <cellStyle name="20% - Accent5 4 2" xfId="1281"/>
    <cellStyle name="20% - Accent5 4 2 2" xfId="1282"/>
    <cellStyle name="20% - Accent5 4 2 2 2" xfId="1283"/>
    <cellStyle name="20% - Accent5 4 2 2 2 2" xfId="3174"/>
    <cellStyle name="20% - Accent5 4 2 2 3" xfId="1284"/>
    <cellStyle name="20% - Accent5 4 2 2 4" xfId="3175"/>
    <cellStyle name="20% - Accent5 4 2 3" xfId="1285"/>
    <cellStyle name="20% - Accent5 4 2 3 2" xfId="1286"/>
    <cellStyle name="20% - Accent5 4 2 3 3" xfId="3176"/>
    <cellStyle name="20% - Accent5 4 2 4" xfId="1287"/>
    <cellStyle name="20% - Accent5 4 2 5" xfId="3177"/>
    <cellStyle name="20% - Accent5 4 3" xfId="1288"/>
    <cellStyle name="20% - Accent5 4 3 2" xfId="1289"/>
    <cellStyle name="20% - Accent5 4 3 2 2" xfId="1290"/>
    <cellStyle name="20% - Accent5 4 3 2 3" xfId="3178"/>
    <cellStyle name="20% - Accent5 4 3 3" xfId="1291"/>
    <cellStyle name="20% - Accent5 4 3 4" xfId="3179"/>
    <cellStyle name="20% - Accent5 4 4" xfId="1292"/>
    <cellStyle name="20% - Accent5 4 4 2" xfId="1293"/>
    <cellStyle name="20% - Accent5 4 4 3" xfId="3180"/>
    <cellStyle name="20% - Accent5 4 5" xfId="1294"/>
    <cellStyle name="20% - Accent5 4 6" xfId="3181"/>
    <cellStyle name="20% - Accent5 5" xfId="1295"/>
    <cellStyle name="20% - Accent5 5 2" xfId="1296"/>
    <cellStyle name="20% - Accent5 5 2 2" xfId="1297"/>
    <cellStyle name="20% - Accent5 5 2 2 2" xfId="1298"/>
    <cellStyle name="20% - Accent5 5 2 2 3" xfId="3182"/>
    <cellStyle name="20% - Accent5 5 2 3" xfId="1299"/>
    <cellStyle name="20% - Accent5 5 2 4" xfId="3183"/>
    <cellStyle name="20% - Accent5 5 3" xfId="1300"/>
    <cellStyle name="20% - Accent5 5 3 2" xfId="1301"/>
    <cellStyle name="20% - Accent5 5 3 3" xfId="3184"/>
    <cellStyle name="20% - Accent5 5 4" xfId="1302"/>
    <cellStyle name="20% - Accent5 5 5" xfId="3185"/>
    <cellStyle name="20% - Accent5 6" xfId="1303"/>
    <cellStyle name="20% - Accent5 6 2" xfId="1304"/>
    <cellStyle name="20% - Accent5 6 2 2" xfId="1305"/>
    <cellStyle name="20% - Accent5 6 2 3" xfId="3186"/>
    <cellStyle name="20% - Accent5 6 3" xfId="1306"/>
    <cellStyle name="20% - Accent5 6 4" xfId="1307"/>
    <cellStyle name="20% - Accent5 6 5" xfId="3187"/>
    <cellStyle name="20% - Accent5 7" xfId="1308"/>
    <cellStyle name="20% - Accent5 7 2" xfId="1309"/>
    <cellStyle name="20% - Accent5 7 3" xfId="3188"/>
    <cellStyle name="20% - Accent5 8" xfId="1310"/>
    <cellStyle name="20% - Accent5 9" xfId="3189"/>
    <cellStyle name="20% - Accent6 2" xfId="515"/>
    <cellStyle name="20% - Accent6 2 2" xfId="516"/>
    <cellStyle name="20% - Accent6 2 2 2" xfId="1311"/>
    <cellStyle name="20% - Accent6 2 2 2 2" xfId="1312"/>
    <cellStyle name="20% - Accent6 2 2 2 2 2" xfId="1313"/>
    <cellStyle name="20% - Accent6 2 2 2 2 2 2" xfId="1314"/>
    <cellStyle name="20% - Accent6 2 2 2 2 2 2 2" xfId="3190"/>
    <cellStyle name="20% - Accent6 2 2 2 2 2 3" xfId="1315"/>
    <cellStyle name="20% - Accent6 2 2 2 2 2 4" xfId="3191"/>
    <cellStyle name="20% - Accent6 2 2 2 2 3" xfId="1316"/>
    <cellStyle name="20% - Accent6 2 2 2 2 3 2" xfId="1317"/>
    <cellStyle name="20% - Accent6 2 2 2 2 3 3" xfId="3192"/>
    <cellStyle name="20% - Accent6 2 2 2 2 4" xfId="1318"/>
    <cellStyle name="20% - Accent6 2 2 2 2 5" xfId="3193"/>
    <cellStyle name="20% - Accent6 2 2 2 3" xfId="1319"/>
    <cellStyle name="20% - Accent6 2 2 2 3 2" xfId="1320"/>
    <cellStyle name="20% - Accent6 2 2 2 3 2 2" xfId="1321"/>
    <cellStyle name="20% - Accent6 2 2 2 3 2 3" xfId="3194"/>
    <cellStyle name="20% - Accent6 2 2 2 3 3" xfId="1322"/>
    <cellStyle name="20% - Accent6 2 2 2 3 4" xfId="3195"/>
    <cellStyle name="20% - Accent6 2 2 2 4" xfId="1323"/>
    <cellStyle name="20% - Accent6 2 2 2 4 2" xfId="1324"/>
    <cellStyle name="20% - Accent6 2 2 2 4 3" xfId="3196"/>
    <cellStyle name="20% - Accent6 2 2 2 5" xfId="1325"/>
    <cellStyle name="20% - Accent6 2 2 2 6" xfId="3197"/>
    <cellStyle name="20% - Accent6 2 2 3" xfId="1326"/>
    <cellStyle name="20% - Accent6 2 2 3 2" xfId="1327"/>
    <cellStyle name="20% - Accent6 2 2 3 2 2" xfId="1328"/>
    <cellStyle name="20% - Accent6 2 2 3 2 2 2" xfId="3198"/>
    <cellStyle name="20% - Accent6 2 2 3 2 3" xfId="1329"/>
    <cellStyle name="20% - Accent6 2 2 3 2 4" xfId="3199"/>
    <cellStyle name="20% - Accent6 2 2 3 3" xfId="1330"/>
    <cellStyle name="20% - Accent6 2 2 3 3 2" xfId="1331"/>
    <cellStyle name="20% - Accent6 2 2 3 3 3" xfId="3200"/>
    <cellStyle name="20% - Accent6 2 2 3 4" xfId="1332"/>
    <cellStyle name="20% - Accent6 2 2 3 5" xfId="3201"/>
    <cellStyle name="20% - Accent6 2 2 4" xfId="1333"/>
    <cellStyle name="20% - Accent6 2 2 4 2" xfId="1334"/>
    <cellStyle name="20% - Accent6 2 2 4 2 2" xfId="1335"/>
    <cellStyle name="20% - Accent6 2 2 4 2 3" xfId="3202"/>
    <cellStyle name="20% - Accent6 2 2 4 3" xfId="1336"/>
    <cellStyle name="20% - Accent6 2 2 4 4" xfId="3203"/>
    <cellStyle name="20% - Accent6 2 2 5" xfId="1337"/>
    <cellStyle name="20% - Accent6 2 2 5 2" xfId="1338"/>
    <cellStyle name="20% - Accent6 2 2 5 3" xfId="3204"/>
    <cellStyle name="20% - Accent6 2 2 6" xfId="1339"/>
    <cellStyle name="20% - Accent6 2 2 7" xfId="3205"/>
    <cellStyle name="20% - Accent6 2 3" xfId="517"/>
    <cellStyle name="20% - Accent6 2 3 2" xfId="1340"/>
    <cellStyle name="20% - Accent6 2 3 2 2" xfId="1341"/>
    <cellStyle name="20% - Accent6 2 3 2 2 2" xfId="1342"/>
    <cellStyle name="20% - Accent6 2 3 2 2 2 2" xfId="3206"/>
    <cellStyle name="20% - Accent6 2 3 2 2 3" xfId="1343"/>
    <cellStyle name="20% - Accent6 2 3 2 2 4" xfId="3207"/>
    <cellStyle name="20% - Accent6 2 3 2 3" xfId="1344"/>
    <cellStyle name="20% - Accent6 2 3 2 3 2" xfId="1345"/>
    <cellStyle name="20% - Accent6 2 3 2 3 3" xfId="3208"/>
    <cellStyle name="20% - Accent6 2 3 2 4" xfId="1346"/>
    <cellStyle name="20% - Accent6 2 3 2 5" xfId="3209"/>
    <cellStyle name="20% - Accent6 2 3 3" xfId="1347"/>
    <cellStyle name="20% - Accent6 2 3 3 2" xfId="1348"/>
    <cellStyle name="20% - Accent6 2 3 3 2 2" xfId="1349"/>
    <cellStyle name="20% - Accent6 2 3 3 2 3" xfId="3210"/>
    <cellStyle name="20% - Accent6 2 3 3 3" xfId="1350"/>
    <cellStyle name="20% - Accent6 2 3 3 4" xfId="3211"/>
    <cellStyle name="20% - Accent6 2 3 4" xfId="1351"/>
    <cellStyle name="20% - Accent6 2 3 4 2" xfId="1352"/>
    <cellStyle name="20% - Accent6 2 3 4 3" xfId="3212"/>
    <cellStyle name="20% - Accent6 2 3 5" xfId="1353"/>
    <cellStyle name="20% - Accent6 2 3 6" xfId="3213"/>
    <cellStyle name="20% - Accent6 2 4" xfId="1354"/>
    <cellStyle name="20% - Accent6 2 4 2" xfId="1355"/>
    <cellStyle name="20% - Accent6 2 4 2 2" xfId="1356"/>
    <cellStyle name="20% - Accent6 2 4 2 2 2" xfId="3214"/>
    <cellStyle name="20% - Accent6 2 4 2 3" xfId="1357"/>
    <cellStyle name="20% - Accent6 2 4 2 4" xfId="3215"/>
    <cellStyle name="20% - Accent6 2 4 3" xfId="1358"/>
    <cellStyle name="20% - Accent6 2 4 3 2" xfId="1359"/>
    <cellStyle name="20% - Accent6 2 4 3 3" xfId="3216"/>
    <cellStyle name="20% - Accent6 2 4 4" xfId="1360"/>
    <cellStyle name="20% - Accent6 2 4 5" xfId="3217"/>
    <cellStyle name="20% - Accent6 2 5" xfId="1361"/>
    <cellStyle name="20% - Accent6 2 5 2" xfId="1362"/>
    <cellStyle name="20% - Accent6 2 5 2 2" xfId="1363"/>
    <cellStyle name="20% - Accent6 2 5 2 3" xfId="3218"/>
    <cellStyle name="20% - Accent6 2 5 3" xfId="1364"/>
    <cellStyle name="20% - Accent6 2 5 4" xfId="3219"/>
    <cellStyle name="20% - Accent6 2 6" xfId="1365"/>
    <cellStyle name="20% - Accent6 2 6 2" xfId="1366"/>
    <cellStyle name="20% - Accent6 2 6 3" xfId="3220"/>
    <cellStyle name="20% - Accent6 2 7" xfId="1367"/>
    <cellStyle name="20% - Accent6 2 8" xfId="3221"/>
    <cellStyle name="20% - Accent6 3" xfId="518"/>
    <cellStyle name="20% - Accent6 3 2" xfId="519"/>
    <cellStyle name="20% - Accent6 3 2 2" xfId="1368"/>
    <cellStyle name="20% - Accent6 3 2 2 2" xfId="1369"/>
    <cellStyle name="20% - Accent6 3 2 2 2 2" xfId="1370"/>
    <cellStyle name="20% - Accent6 3 2 2 2 2 2" xfId="3222"/>
    <cellStyle name="20% - Accent6 3 2 2 2 3" xfId="1371"/>
    <cellStyle name="20% - Accent6 3 2 2 2 4" xfId="3223"/>
    <cellStyle name="20% - Accent6 3 2 2 3" xfId="1372"/>
    <cellStyle name="20% - Accent6 3 2 2 3 2" xfId="1373"/>
    <cellStyle name="20% - Accent6 3 2 2 3 3" xfId="3224"/>
    <cellStyle name="20% - Accent6 3 2 2 4" xfId="1374"/>
    <cellStyle name="20% - Accent6 3 2 2 5" xfId="3225"/>
    <cellStyle name="20% - Accent6 3 2 3" xfId="1375"/>
    <cellStyle name="20% - Accent6 3 2 3 2" xfId="1376"/>
    <cellStyle name="20% - Accent6 3 2 3 2 2" xfId="1377"/>
    <cellStyle name="20% - Accent6 3 2 3 2 3" xfId="3226"/>
    <cellStyle name="20% - Accent6 3 2 3 3" xfId="1378"/>
    <cellStyle name="20% - Accent6 3 2 3 4" xfId="3227"/>
    <cellStyle name="20% - Accent6 3 2 4" xfId="1379"/>
    <cellStyle name="20% - Accent6 3 2 4 2" xfId="1380"/>
    <cellStyle name="20% - Accent6 3 2 4 3" xfId="3228"/>
    <cellStyle name="20% - Accent6 3 2 5" xfId="1381"/>
    <cellStyle name="20% - Accent6 3 2 6" xfId="3229"/>
    <cellStyle name="20% - Accent6 3 3" xfId="520"/>
    <cellStyle name="20% - Accent6 3 3 2" xfId="1382"/>
    <cellStyle name="20% - Accent6 3 3 2 2" xfId="1383"/>
    <cellStyle name="20% - Accent6 3 3 2 2 2" xfId="3230"/>
    <cellStyle name="20% - Accent6 3 3 2 3" xfId="1384"/>
    <cellStyle name="20% - Accent6 3 3 2 4" xfId="3231"/>
    <cellStyle name="20% - Accent6 3 3 3" xfId="1385"/>
    <cellStyle name="20% - Accent6 3 3 3 2" xfId="1386"/>
    <cellStyle name="20% - Accent6 3 3 3 3" xfId="3232"/>
    <cellStyle name="20% - Accent6 3 3 4" xfId="1387"/>
    <cellStyle name="20% - Accent6 3 3 5" xfId="3233"/>
    <cellStyle name="20% - Accent6 3 4" xfId="1388"/>
    <cellStyle name="20% - Accent6 3 4 2" xfId="1389"/>
    <cellStyle name="20% - Accent6 3 4 2 2" xfId="1390"/>
    <cellStyle name="20% - Accent6 3 4 2 3" xfId="3234"/>
    <cellStyle name="20% - Accent6 3 4 3" xfId="1391"/>
    <cellStyle name="20% - Accent6 3 4 4" xfId="3235"/>
    <cellStyle name="20% - Accent6 3 5" xfId="1392"/>
    <cellStyle name="20% - Accent6 3 5 2" xfId="1393"/>
    <cellStyle name="20% - Accent6 3 5 3" xfId="3236"/>
    <cellStyle name="20% - Accent6 3 6" xfId="1394"/>
    <cellStyle name="20% - Accent6 3 7" xfId="3237"/>
    <cellStyle name="20% - Accent6 4" xfId="521"/>
    <cellStyle name="20% - Accent6 4 2" xfId="1395"/>
    <cellStyle name="20% - Accent6 4 2 2" xfId="1396"/>
    <cellStyle name="20% - Accent6 4 2 2 2" xfId="1397"/>
    <cellStyle name="20% - Accent6 4 2 2 2 2" xfId="3238"/>
    <cellStyle name="20% - Accent6 4 2 2 3" xfId="1398"/>
    <cellStyle name="20% - Accent6 4 2 2 4" xfId="3239"/>
    <cellStyle name="20% - Accent6 4 2 3" xfId="1399"/>
    <cellStyle name="20% - Accent6 4 2 3 2" xfId="1400"/>
    <cellStyle name="20% - Accent6 4 2 3 3" xfId="3240"/>
    <cellStyle name="20% - Accent6 4 2 4" xfId="1401"/>
    <cellStyle name="20% - Accent6 4 2 5" xfId="3241"/>
    <cellStyle name="20% - Accent6 4 3" xfId="1402"/>
    <cellStyle name="20% - Accent6 4 3 2" xfId="1403"/>
    <cellStyle name="20% - Accent6 4 3 2 2" xfId="1404"/>
    <cellStyle name="20% - Accent6 4 3 2 3" xfId="3242"/>
    <cellStyle name="20% - Accent6 4 3 3" xfId="1405"/>
    <cellStyle name="20% - Accent6 4 3 4" xfId="3243"/>
    <cellStyle name="20% - Accent6 4 4" xfId="1406"/>
    <cellStyle name="20% - Accent6 4 4 2" xfId="1407"/>
    <cellStyle name="20% - Accent6 4 4 3" xfId="3244"/>
    <cellStyle name="20% - Accent6 4 5" xfId="1408"/>
    <cellStyle name="20% - Accent6 4 6" xfId="3245"/>
    <cellStyle name="20% - Accent6 5" xfId="1409"/>
    <cellStyle name="20% - Accent6 5 2" xfId="1410"/>
    <cellStyle name="20% - Accent6 5 2 2" xfId="1411"/>
    <cellStyle name="20% - Accent6 5 2 2 2" xfId="1412"/>
    <cellStyle name="20% - Accent6 5 2 2 3" xfId="3246"/>
    <cellStyle name="20% - Accent6 5 2 3" xfId="1413"/>
    <cellStyle name="20% - Accent6 5 2 4" xfId="3247"/>
    <cellStyle name="20% - Accent6 5 3" xfId="1414"/>
    <cellStyle name="20% - Accent6 5 3 2" xfId="1415"/>
    <cellStyle name="20% - Accent6 5 3 3" xfId="3248"/>
    <cellStyle name="20% - Accent6 5 4" xfId="1416"/>
    <cellStyle name="20% - Accent6 5 5" xfId="3249"/>
    <cellStyle name="20% - Accent6 6" xfId="1417"/>
    <cellStyle name="20% - Accent6 6 2" xfId="1418"/>
    <cellStyle name="20% - Accent6 6 2 2" xfId="1419"/>
    <cellStyle name="20% - Accent6 6 2 3" xfId="3250"/>
    <cellStyle name="20% - Accent6 6 3" xfId="1420"/>
    <cellStyle name="20% - Accent6 6 4" xfId="1421"/>
    <cellStyle name="20% - Accent6 6 5" xfId="3251"/>
    <cellStyle name="20% - Accent6 7" xfId="1422"/>
    <cellStyle name="20% - Accent6 7 2" xfId="1423"/>
    <cellStyle name="20% - Accent6 7 3" xfId="3252"/>
    <cellStyle name="20% - Accent6 8" xfId="1424"/>
    <cellStyle name="20% - Accent6 9" xfId="3253"/>
    <cellStyle name="40% - Accent1 2" xfId="522"/>
    <cellStyle name="40% - Accent1 2 2" xfId="523"/>
    <cellStyle name="40% - Accent1 2 2 2" xfId="1425"/>
    <cellStyle name="40% - Accent1 2 2 2 2" xfId="1426"/>
    <cellStyle name="40% - Accent1 2 2 2 2 2" xfId="1427"/>
    <cellStyle name="40% - Accent1 2 2 2 2 2 2" xfId="1428"/>
    <cellStyle name="40% - Accent1 2 2 2 2 2 2 2" xfId="3254"/>
    <cellStyle name="40% - Accent1 2 2 2 2 2 3" xfId="1429"/>
    <cellStyle name="40% - Accent1 2 2 2 2 2 4" xfId="3255"/>
    <cellStyle name="40% - Accent1 2 2 2 2 3" xfId="1430"/>
    <cellStyle name="40% - Accent1 2 2 2 2 3 2" xfId="1431"/>
    <cellStyle name="40% - Accent1 2 2 2 2 3 3" xfId="3256"/>
    <cellStyle name="40% - Accent1 2 2 2 2 4" xfId="1432"/>
    <cellStyle name="40% - Accent1 2 2 2 2 5" xfId="3257"/>
    <cellStyle name="40% - Accent1 2 2 2 3" xfId="1433"/>
    <cellStyle name="40% - Accent1 2 2 2 3 2" xfId="1434"/>
    <cellStyle name="40% - Accent1 2 2 2 3 2 2" xfId="1435"/>
    <cellStyle name="40% - Accent1 2 2 2 3 2 3" xfId="3258"/>
    <cellStyle name="40% - Accent1 2 2 2 3 3" xfId="1436"/>
    <cellStyle name="40% - Accent1 2 2 2 3 4" xfId="3259"/>
    <cellStyle name="40% - Accent1 2 2 2 4" xfId="1437"/>
    <cellStyle name="40% - Accent1 2 2 2 4 2" xfId="1438"/>
    <cellStyle name="40% - Accent1 2 2 2 4 3" xfId="3260"/>
    <cellStyle name="40% - Accent1 2 2 2 5" xfId="1439"/>
    <cellStyle name="40% - Accent1 2 2 2 6" xfId="3261"/>
    <cellStyle name="40% - Accent1 2 2 3" xfId="1440"/>
    <cellStyle name="40% - Accent1 2 2 3 2" xfId="1441"/>
    <cellStyle name="40% - Accent1 2 2 3 2 2" xfId="1442"/>
    <cellStyle name="40% - Accent1 2 2 3 2 2 2" xfId="3262"/>
    <cellStyle name="40% - Accent1 2 2 3 2 3" xfId="1443"/>
    <cellStyle name="40% - Accent1 2 2 3 2 4" xfId="3263"/>
    <cellStyle name="40% - Accent1 2 2 3 3" xfId="1444"/>
    <cellStyle name="40% - Accent1 2 2 3 3 2" xfId="1445"/>
    <cellStyle name="40% - Accent1 2 2 3 3 3" xfId="3264"/>
    <cellStyle name="40% - Accent1 2 2 3 4" xfId="1446"/>
    <cellStyle name="40% - Accent1 2 2 3 5" xfId="3265"/>
    <cellStyle name="40% - Accent1 2 2 4" xfId="1447"/>
    <cellStyle name="40% - Accent1 2 2 4 2" xfId="1448"/>
    <cellStyle name="40% - Accent1 2 2 4 2 2" xfId="1449"/>
    <cellStyle name="40% - Accent1 2 2 4 2 3" xfId="3266"/>
    <cellStyle name="40% - Accent1 2 2 4 3" xfId="1450"/>
    <cellStyle name="40% - Accent1 2 2 4 4" xfId="3267"/>
    <cellStyle name="40% - Accent1 2 2 5" xfId="1451"/>
    <cellStyle name="40% - Accent1 2 2 5 2" xfId="1452"/>
    <cellStyle name="40% - Accent1 2 2 5 3" xfId="3268"/>
    <cellStyle name="40% - Accent1 2 2 6" xfId="1453"/>
    <cellStyle name="40% - Accent1 2 2 7" xfId="3269"/>
    <cellStyle name="40% - Accent1 2 3" xfId="524"/>
    <cellStyle name="40% - Accent1 2 3 2" xfId="1454"/>
    <cellStyle name="40% - Accent1 2 3 2 2" xfId="1455"/>
    <cellStyle name="40% - Accent1 2 3 2 2 2" xfId="1456"/>
    <cellStyle name="40% - Accent1 2 3 2 2 2 2" xfId="3270"/>
    <cellStyle name="40% - Accent1 2 3 2 2 3" xfId="1457"/>
    <cellStyle name="40% - Accent1 2 3 2 2 4" xfId="3271"/>
    <cellStyle name="40% - Accent1 2 3 2 3" xfId="1458"/>
    <cellStyle name="40% - Accent1 2 3 2 3 2" xfId="1459"/>
    <cellStyle name="40% - Accent1 2 3 2 3 3" xfId="3272"/>
    <cellStyle name="40% - Accent1 2 3 2 4" xfId="1460"/>
    <cellStyle name="40% - Accent1 2 3 2 5" xfId="3273"/>
    <cellStyle name="40% - Accent1 2 3 3" xfId="1461"/>
    <cellStyle name="40% - Accent1 2 3 3 2" xfId="1462"/>
    <cellStyle name="40% - Accent1 2 3 3 2 2" xfId="1463"/>
    <cellStyle name="40% - Accent1 2 3 3 2 3" xfId="3274"/>
    <cellStyle name="40% - Accent1 2 3 3 3" xfId="1464"/>
    <cellStyle name="40% - Accent1 2 3 3 4" xfId="3275"/>
    <cellStyle name="40% - Accent1 2 3 4" xfId="1465"/>
    <cellStyle name="40% - Accent1 2 3 4 2" xfId="1466"/>
    <cellStyle name="40% - Accent1 2 3 4 3" xfId="3276"/>
    <cellStyle name="40% - Accent1 2 3 5" xfId="1467"/>
    <cellStyle name="40% - Accent1 2 3 6" xfId="3277"/>
    <cellStyle name="40% - Accent1 2 4" xfId="1468"/>
    <cellStyle name="40% - Accent1 2 4 2" xfId="1469"/>
    <cellStyle name="40% - Accent1 2 4 2 2" xfId="1470"/>
    <cellStyle name="40% - Accent1 2 4 2 2 2" xfId="3278"/>
    <cellStyle name="40% - Accent1 2 4 2 3" xfId="1471"/>
    <cellStyle name="40% - Accent1 2 4 2 4" xfId="3279"/>
    <cellStyle name="40% - Accent1 2 4 3" xfId="1472"/>
    <cellStyle name="40% - Accent1 2 4 3 2" xfId="1473"/>
    <cellStyle name="40% - Accent1 2 4 3 3" xfId="3280"/>
    <cellStyle name="40% - Accent1 2 4 4" xfId="1474"/>
    <cellStyle name="40% - Accent1 2 4 5" xfId="3281"/>
    <cellStyle name="40% - Accent1 2 5" xfId="1475"/>
    <cellStyle name="40% - Accent1 2 5 2" xfId="1476"/>
    <cellStyle name="40% - Accent1 2 5 2 2" xfId="1477"/>
    <cellStyle name="40% - Accent1 2 5 2 3" xfId="3282"/>
    <cellStyle name="40% - Accent1 2 5 3" xfId="1478"/>
    <cellStyle name="40% - Accent1 2 5 4" xfId="3283"/>
    <cellStyle name="40% - Accent1 2 6" xfId="1479"/>
    <cellStyle name="40% - Accent1 2 6 2" xfId="1480"/>
    <cellStyle name="40% - Accent1 2 6 3" xfId="3284"/>
    <cellStyle name="40% - Accent1 2 7" xfId="1481"/>
    <cellStyle name="40% - Accent1 2 8" xfId="3285"/>
    <cellStyle name="40% - Accent1 3" xfId="525"/>
    <cellStyle name="40% - Accent1 3 2" xfId="526"/>
    <cellStyle name="40% - Accent1 3 2 2" xfId="1482"/>
    <cellStyle name="40% - Accent1 3 2 2 2" xfId="1483"/>
    <cellStyle name="40% - Accent1 3 2 2 2 2" xfId="1484"/>
    <cellStyle name="40% - Accent1 3 2 2 2 2 2" xfId="3286"/>
    <cellStyle name="40% - Accent1 3 2 2 2 3" xfId="1485"/>
    <cellStyle name="40% - Accent1 3 2 2 2 4" xfId="3287"/>
    <cellStyle name="40% - Accent1 3 2 2 3" xfId="1486"/>
    <cellStyle name="40% - Accent1 3 2 2 3 2" xfId="1487"/>
    <cellStyle name="40% - Accent1 3 2 2 3 3" xfId="3288"/>
    <cellStyle name="40% - Accent1 3 2 2 4" xfId="1488"/>
    <cellStyle name="40% - Accent1 3 2 2 5" xfId="3289"/>
    <cellStyle name="40% - Accent1 3 2 3" xfId="1489"/>
    <cellStyle name="40% - Accent1 3 2 3 2" xfId="1490"/>
    <cellStyle name="40% - Accent1 3 2 3 2 2" xfId="1491"/>
    <cellStyle name="40% - Accent1 3 2 3 2 3" xfId="3290"/>
    <cellStyle name="40% - Accent1 3 2 3 3" xfId="1492"/>
    <cellStyle name="40% - Accent1 3 2 3 4" xfId="3291"/>
    <cellStyle name="40% - Accent1 3 2 4" xfId="1493"/>
    <cellStyle name="40% - Accent1 3 2 4 2" xfId="1494"/>
    <cellStyle name="40% - Accent1 3 2 4 3" xfId="3292"/>
    <cellStyle name="40% - Accent1 3 2 5" xfId="1495"/>
    <cellStyle name="40% - Accent1 3 2 6" xfId="3293"/>
    <cellStyle name="40% - Accent1 3 3" xfId="527"/>
    <cellStyle name="40% - Accent1 3 3 2" xfId="1496"/>
    <cellStyle name="40% - Accent1 3 3 2 2" xfId="1497"/>
    <cellStyle name="40% - Accent1 3 3 2 2 2" xfId="3294"/>
    <cellStyle name="40% - Accent1 3 3 2 3" xfId="1498"/>
    <cellStyle name="40% - Accent1 3 3 2 4" xfId="3295"/>
    <cellStyle name="40% - Accent1 3 3 3" xfId="1499"/>
    <cellStyle name="40% - Accent1 3 3 3 2" xfId="1500"/>
    <cellStyle name="40% - Accent1 3 3 3 3" xfId="3296"/>
    <cellStyle name="40% - Accent1 3 3 4" xfId="1501"/>
    <cellStyle name="40% - Accent1 3 3 5" xfId="3297"/>
    <cellStyle name="40% - Accent1 3 4" xfId="1502"/>
    <cellStyle name="40% - Accent1 3 4 2" xfId="1503"/>
    <cellStyle name="40% - Accent1 3 4 2 2" xfId="1504"/>
    <cellStyle name="40% - Accent1 3 4 2 3" xfId="3298"/>
    <cellStyle name="40% - Accent1 3 4 3" xfId="1505"/>
    <cellStyle name="40% - Accent1 3 4 4" xfId="3299"/>
    <cellStyle name="40% - Accent1 3 5" xfId="1506"/>
    <cellStyle name="40% - Accent1 3 5 2" xfId="1507"/>
    <cellStyle name="40% - Accent1 3 5 3" xfId="3300"/>
    <cellStyle name="40% - Accent1 3 6" xfId="1508"/>
    <cellStyle name="40% - Accent1 3 7" xfId="3301"/>
    <cellStyle name="40% - Accent1 4" xfId="528"/>
    <cellStyle name="40% - Accent1 4 2" xfId="1509"/>
    <cellStyle name="40% - Accent1 4 2 2" xfId="1510"/>
    <cellStyle name="40% - Accent1 4 2 2 2" xfId="1511"/>
    <cellStyle name="40% - Accent1 4 2 2 2 2" xfId="3302"/>
    <cellStyle name="40% - Accent1 4 2 2 3" xfId="1512"/>
    <cellStyle name="40% - Accent1 4 2 2 4" xfId="3303"/>
    <cellStyle name="40% - Accent1 4 2 3" xfId="1513"/>
    <cellStyle name="40% - Accent1 4 2 3 2" xfId="1514"/>
    <cellStyle name="40% - Accent1 4 2 3 3" xfId="3304"/>
    <cellStyle name="40% - Accent1 4 2 4" xfId="1515"/>
    <cellStyle name="40% - Accent1 4 2 5" xfId="3305"/>
    <cellStyle name="40% - Accent1 4 3" xfId="1516"/>
    <cellStyle name="40% - Accent1 4 3 2" xfId="1517"/>
    <cellStyle name="40% - Accent1 4 3 2 2" xfId="1518"/>
    <cellStyle name="40% - Accent1 4 3 2 3" xfId="3306"/>
    <cellStyle name="40% - Accent1 4 3 3" xfId="1519"/>
    <cellStyle name="40% - Accent1 4 3 4" xfId="3307"/>
    <cellStyle name="40% - Accent1 4 4" xfId="1520"/>
    <cellStyle name="40% - Accent1 4 4 2" xfId="1521"/>
    <cellStyle name="40% - Accent1 4 4 3" xfId="3308"/>
    <cellStyle name="40% - Accent1 4 5" xfId="1522"/>
    <cellStyle name="40% - Accent1 4 6" xfId="3309"/>
    <cellStyle name="40% - Accent1 5" xfId="1523"/>
    <cellStyle name="40% - Accent1 5 2" xfId="1524"/>
    <cellStyle name="40% - Accent1 5 2 2" xfId="1525"/>
    <cellStyle name="40% - Accent1 5 2 2 2" xfId="1526"/>
    <cellStyle name="40% - Accent1 5 2 2 3" xfId="3310"/>
    <cellStyle name="40% - Accent1 5 2 3" xfId="1527"/>
    <cellStyle name="40% - Accent1 5 2 4" xfId="3311"/>
    <cellStyle name="40% - Accent1 5 3" xfId="1528"/>
    <cellStyle name="40% - Accent1 5 3 2" xfId="1529"/>
    <cellStyle name="40% - Accent1 5 3 3" xfId="3312"/>
    <cellStyle name="40% - Accent1 5 4" xfId="1530"/>
    <cellStyle name="40% - Accent1 5 5" xfId="3313"/>
    <cellStyle name="40% - Accent1 6" xfId="1531"/>
    <cellStyle name="40% - Accent1 6 2" xfId="1532"/>
    <cellStyle name="40% - Accent1 6 2 2" xfId="1533"/>
    <cellStyle name="40% - Accent1 6 2 3" xfId="3314"/>
    <cellStyle name="40% - Accent1 6 3" xfId="1534"/>
    <cellStyle name="40% - Accent1 6 4" xfId="1535"/>
    <cellStyle name="40% - Accent1 6 5" xfId="3315"/>
    <cellStyle name="40% - Accent1 7" xfId="1536"/>
    <cellStyle name="40% - Accent1 7 2" xfId="1537"/>
    <cellStyle name="40% - Accent1 7 3" xfId="3316"/>
    <cellStyle name="40% - Accent1 8" xfId="1538"/>
    <cellStyle name="40% - Accent1 9" xfId="3317"/>
    <cellStyle name="40% - Accent2 2" xfId="529"/>
    <cellStyle name="40% - Accent2 2 2" xfId="530"/>
    <cellStyle name="40% - Accent2 2 2 2" xfId="1539"/>
    <cellStyle name="40% - Accent2 2 2 2 2" xfId="1540"/>
    <cellStyle name="40% - Accent2 2 2 2 2 2" xfId="1541"/>
    <cellStyle name="40% - Accent2 2 2 2 2 2 2" xfId="1542"/>
    <cellStyle name="40% - Accent2 2 2 2 2 2 2 2" xfId="3318"/>
    <cellStyle name="40% - Accent2 2 2 2 2 2 3" xfId="1543"/>
    <cellStyle name="40% - Accent2 2 2 2 2 2 4" xfId="3319"/>
    <cellStyle name="40% - Accent2 2 2 2 2 3" xfId="1544"/>
    <cellStyle name="40% - Accent2 2 2 2 2 3 2" xfId="1545"/>
    <cellStyle name="40% - Accent2 2 2 2 2 3 3" xfId="3320"/>
    <cellStyle name="40% - Accent2 2 2 2 2 4" xfId="1546"/>
    <cellStyle name="40% - Accent2 2 2 2 2 5" xfId="3321"/>
    <cellStyle name="40% - Accent2 2 2 2 3" xfId="1547"/>
    <cellStyle name="40% - Accent2 2 2 2 3 2" xfId="1548"/>
    <cellStyle name="40% - Accent2 2 2 2 3 2 2" xfId="1549"/>
    <cellStyle name="40% - Accent2 2 2 2 3 2 3" xfId="3322"/>
    <cellStyle name="40% - Accent2 2 2 2 3 3" xfId="1550"/>
    <cellStyle name="40% - Accent2 2 2 2 3 4" xfId="3323"/>
    <cellStyle name="40% - Accent2 2 2 2 4" xfId="1551"/>
    <cellStyle name="40% - Accent2 2 2 2 4 2" xfId="1552"/>
    <cellStyle name="40% - Accent2 2 2 2 4 3" xfId="3324"/>
    <cellStyle name="40% - Accent2 2 2 2 5" xfId="1553"/>
    <cellStyle name="40% - Accent2 2 2 2 6" xfId="3325"/>
    <cellStyle name="40% - Accent2 2 2 3" xfId="1554"/>
    <cellStyle name="40% - Accent2 2 2 3 2" xfId="1555"/>
    <cellStyle name="40% - Accent2 2 2 3 2 2" xfId="1556"/>
    <cellStyle name="40% - Accent2 2 2 3 2 2 2" xfId="3326"/>
    <cellStyle name="40% - Accent2 2 2 3 2 3" xfId="1557"/>
    <cellStyle name="40% - Accent2 2 2 3 2 4" xfId="3327"/>
    <cellStyle name="40% - Accent2 2 2 3 3" xfId="1558"/>
    <cellStyle name="40% - Accent2 2 2 3 3 2" xfId="1559"/>
    <cellStyle name="40% - Accent2 2 2 3 3 3" xfId="3328"/>
    <cellStyle name="40% - Accent2 2 2 3 4" xfId="1560"/>
    <cellStyle name="40% - Accent2 2 2 3 5" xfId="3329"/>
    <cellStyle name="40% - Accent2 2 2 4" xfId="1561"/>
    <cellStyle name="40% - Accent2 2 2 4 2" xfId="1562"/>
    <cellStyle name="40% - Accent2 2 2 4 2 2" xfId="1563"/>
    <cellStyle name="40% - Accent2 2 2 4 2 3" xfId="3330"/>
    <cellStyle name="40% - Accent2 2 2 4 3" xfId="1564"/>
    <cellStyle name="40% - Accent2 2 2 4 4" xfId="3331"/>
    <cellStyle name="40% - Accent2 2 2 5" xfId="1565"/>
    <cellStyle name="40% - Accent2 2 2 5 2" xfId="1566"/>
    <cellStyle name="40% - Accent2 2 2 5 3" xfId="3332"/>
    <cellStyle name="40% - Accent2 2 2 6" xfId="1567"/>
    <cellStyle name="40% - Accent2 2 2 7" xfId="3333"/>
    <cellStyle name="40% - Accent2 2 3" xfId="531"/>
    <cellStyle name="40% - Accent2 2 3 2" xfId="1568"/>
    <cellStyle name="40% - Accent2 2 3 2 2" xfId="1569"/>
    <cellStyle name="40% - Accent2 2 3 2 2 2" xfId="1570"/>
    <cellStyle name="40% - Accent2 2 3 2 2 2 2" xfId="3334"/>
    <cellStyle name="40% - Accent2 2 3 2 2 3" xfId="1571"/>
    <cellStyle name="40% - Accent2 2 3 2 2 4" xfId="3335"/>
    <cellStyle name="40% - Accent2 2 3 2 3" xfId="1572"/>
    <cellStyle name="40% - Accent2 2 3 2 3 2" xfId="1573"/>
    <cellStyle name="40% - Accent2 2 3 2 3 3" xfId="3336"/>
    <cellStyle name="40% - Accent2 2 3 2 4" xfId="1574"/>
    <cellStyle name="40% - Accent2 2 3 2 5" xfId="3337"/>
    <cellStyle name="40% - Accent2 2 3 3" xfId="1575"/>
    <cellStyle name="40% - Accent2 2 3 3 2" xfId="1576"/>
    <cellStyle name="40% - Accent2 2 3 3 2 2" xfId="1577"/>
    <cellStyle name="40% - Accent2 2 3 3 2 3" xfId="3338"/>
    <cellStyle name="40% - Accent2 2 3 3 3" xfId="1578"/>
    <cellStyle name="40% - Accent2 2 3 3 4" xfId="3339"/>
    <cellStyle name="40% - Accent2 2 3 4" xfId="1579"/>
    <cellStyle name="40% - Accent2 2 3 4 2" xfId="1580"/>
    <cellStyle name="40% - Accent2 2 3 4 3" xfId="3340"/>
    <cellStyle name="40% - Accent2 2 3 5" xfId="1581"/>
    <cellStyle name="40% - Accent2 2 3 6" xfId="3341"/>
    <cellStyle name="40% - Accent2 2 4" xfId="1582"/>
    <cellStyle name="40% - Accent2 2 4 2" xfId="1583"/>
    <cellStyle name="40% - Accent2 2 4 2 2" xfId="1584"/>
    <cellStyle name="40% - Accent2 2 4 2 2 2" xfId="3342"/>
    <cellStyle name="40% - Accent2 2 4 2 3" xfId="1585"/>
    <cellStyle name="40% - Accent2 2 4 2 4" xfId="3343"/>
    <cellStyle name="40% - Accent2 2 4 3" xfId="1586"/>
    <cellStyle name="40% - Accent2 2 4 3 2" xfId="1587"/>
    <cellStyle name="40% - Accent2 2 4 3 3" xfId="3344"/>
    <cellStyle name="40% - Accent2 2 4 4" xfId="1588"/>
    <cellStyle name="40% - Accent2 2 4 5" xfId="3345"/>
    <cellStyle name="40% - Accent2 2 5" xfId="1589"/>
    <cellStyle name="40% - Accent2 2 5 2" xfId="1590"/>
    <cellStyle name="40% - Accent2 2 5 2 2" xfId="1591"/>
    <cellStyle name="40% - Accent2 2 5 2 3" xfId="3346"/>
    <cellStyle name="40% - Accent2 2 5 3" xfId="1592"/>
    <cellStyle name="40% - Accent2 2 5 4" xfId="3347"/>
    <cellStyle name="40% - Accent2 2 6" xfId="1593"/>
    <cellStyle name="40% - Accent2 2 6 2" xfId="1594"/>
    <cellStyle name="40% - Accent2 2 6 3" xfId="3348"/>
    <cellStyle name="40% - Accent2 2 7" xfId="1595"/>
    <cellStyle name="40% - Accent2 2 8" xfId="3349"/>
    <cellStyle name="40% - Accent2 3" xfId="532"/>
    <cellStyle name="40% - Accent2 3 2" xfId="533"/>
    <cellStyle name="40% - Accent2 3 2 2" xfId="1596"/>
    <cellStyle name="40% - Accent2 3 2 2 2" xfId="1597"/>
    <cellStyle name="40% - Accent2 3 2 2 2 2" xfId="1598"/>
    <cellStyle name="40% - Accent2 3 2 2 2 2 2" xfId="3350"/>
    <cellStyle name="40% - Accent2 3 2 2 2 3" xfId="1599"/>
    <cellStyle name="40% - Accent2 3 2 2 2 4" xfId="3351"/>
    <cellStyle name="40% - Accent2 3 2 2 3" xfId="1600"/>
    <cellStyle name="40% - Accent2 3 2 2 3 2" xfId="1601"/>
    <cellStyle name="40% - Accent2 3 2 2 3 3" xfId="3352"/>
    <cellStyle name="40% - Accent2 3 2 2 4" xfId="1602"/>
    <cellStyle name="40% - Accent2 3 2 2 5" xfId="3353"/>
    <cellStyle name="40% - Accent2 3 2 3" xfId="1603"/>
    <cellStyle name="40% - Accent2 3 2 3 2" xfId="1604"/>
    <cellStyle name="40% - Accent2 3 2 3 2 2" xfId="1605"/>
    <cellStyle name="40% - Accent2 3 2 3 2 3" xfId="3354"/>
    <cellStyle name="40% - Accent2 3 2 3 3" xfId="1606"/>
    <cellStyle name="40% - Accent2 3 2 3 4" xfId="3355"/>
    <cellStyle name="40% - Accent2 3 2 4" xfId="1607"/>
    <cellStyle name="40% - Accent2 3 2 4 2" xfId="1608"/>
    <cellStyle name="40% - Accent2 3 2 4 3" xfId="3356"/>
    <cellStyle name="40% - Accent2 3 2 5" xfId="1609"/>
    <cellStyle name="40% - Accent2 3 2 6" xfId="3357"/>
    <cellStyle name="40% - Accent2 3 3" xfId="534"/>
    <cellStyle name="40% - Accent2 3 3 2" xfId="1610"/>
    <cellStyle name="40% - Accent2 3 3 2 2" xfId="1611"/>
    <cellStyle name="40% - Accent2 3 3 2 2 2" xfId="3358"/>
    <cellStyle name="40% - Accent2 3 3 2 3" xfId="1612"/>
    <cellStyle name="40% - Accent2 3 3 2 4" xfId="3359"/>
    <cellStyle name="40% - Accent2 3 3 3" xfId="1613"/>
    <cellStyle name="40% - Accent2 3 3 3 2" xfId="1614"/>
    <cellStyle name="40% - Accent2 3 3 3 3" xfId="3360"/>
    <cellStyle name="40% - Accent2 3 3 4" xfId="1615"/>
    <cellStyle name="40% - Accent2 3 3 5" xfId="3361"/>
    <cellStyle name="40% - Accent2 3 4" xfId="1616"/>
    <cellStyle name="40% - Accent2 3 4 2" xfId="1617"/>
    <cellStyle name="40% - Accent2 3 4 2 2" xfId="1618"/>
    <cellStyle name="40% - Accent2 3 4 2 3" xfId="3362"/>
    <cellStyle name="40% - Accent2 3 4 3" xfId="1619"/>
    <cellStyle name="40% - Accent2 3 4 4" xfId="3363"/>
    <cellStyle name="40% - Accent2 3 5" xfId="1620"/>
    <cellStyle name="40% - Accent2 3 5 2" xfId="1621"/>
    <cellStyle name="40% - Accent2 3 5 3" xfId="3364"/>
    <cellStyle name="40% - Accent2 3 6" xfId="1622"/>
    <cellStyle name="40% - Accent2 3 7" xfId="3365"/>
    <cellStyle name="40% - Accent2 4" xfId="535"/>
    <cellStyle name="40% - Accent2 4 2" xfId="1623"/>
    <cellStyle name="40% - Accent2 4 2 2" xfId="1624"/>
    <cellStyle name="40% - Accent2 4 2 2 2" xfId="1625"/>
    <cellStyle name="40% - Accent2 4 2 2 2 2" xfId="3366"/>
    <cellStyle name="40% - Accent2 4 2 2 3" xfId="1626"/>
    <cellStyle name="40% - Accent2 4 2 2 4" xfId="3367"/>
    <cellStyle name="40% - Accent2 4 2 3" xfId="1627"/>
    <cellStyle name="40% - Accent2 4 2 3 2" xfId="1628"/>
    <cellStyle name="40% - Accent2 4 2 3 3" xfId="3368"/>
    <cellStyle name="40% - Accent2 4 2 4" xfId="1629"/>
    <cellStyle name="40% - Accent2 4 2 5" xfId="3369"/>
    <cellStyle name="40% - Accent2 4 3" xfId="1630"/>
    <cellStyle name="40% - Accent2 4 3 2" xfId="1631"/>
    <cellStyle name="40% - Accent2 4 3 2 2" xfId="1632"/>
    <cellStyle name="40% - Accent2 4 3 2 3" xfId="3370"/>
    <cellStyle name="40% - Accent2 4 3 3" xfId="1633"/>
    <cellStyle name="40% - Accent2 4 3 4" xfId="3371"/>
    <cellStyle name="40% - Accent2 4 4" xfId="1634"/>
    <cellStyle name="40% - Accent2 4 4 2" xfId="1635"/>
    <cellStyle name="40% - Accent2 4 4 3" xfId="3372"/>
    <cellStyle name="40% - Accent2 4 5" xfId="1636"/>
    <cellStyle name="40% - Accent2 4 6" xfId="3373"/>
    <cellStyle name="40% - Accent2 5" xfId="1637"/>
    <cellStyle name="40% - Accent2 5 2" xfId="1638"/>
    <cellStyle name="40% - Accent2 5 2 2" xfId="1639"/>
    <cellStyle name="40% - Accent2 5 2 2 2" xfId="1640"/>
    <cellStyle name="40% - Accent2 5 2 2 3" xfId="3374"/>
    <cellStyle name="40% - Accent2 5 2 3" xfId="1641"/>
    <cellStyle name="40% - Accent2 5 2 4" xfId="3375"/>
    <cellStyle name="40% - Accent2 5 3" xfId="1642"/>
    <cellStyle name="40% - Accent2 5 3 2" xfId="1643"/>
    <cellStyle name="40% - Accent2 5 3 3" xfId="3376"/>
    <cellStyle name="40% - Accent2 5 4" xfId="1644"/>
    <cellStyle name="40% - Accent2 5 5" xfId="3377"/>
    <cellStyle name="40% - Accent2 6" xfId="1645"/>
    <cellStyle name="40% - Accent2 6 2" xfId="1646"/>
    <cellStyle name="40% - Accent2 6 2 2" xfId="1647"/>
    <cellStyle name="40% - Accent2 6 2 3" xfId="3378"/>
    <cellStyle name="40% - Accent2 6 3" xfId="1648"/>
    <cellStyle name="40% - Accent2 6 4" xfId="1649"/>
    <cellStyle name="40% - Accent2 6 5" xfId="3379"/>
    <cellStyle name="40% - Accent2 7" xfId="1650"/>
    <cellStyle name="40% - Accent2 7 2" xfId="1651"/>
    <cellStyle name="40% - Accent2 7 3" xfId="3380"/>
    <cellStyle name="40% - Accent2 8" xfId="1652"/>
    <cellStyle name="40% - Accent2 9" xfId="3381"/>
    <cellStyle name="40% - Accent3 2" xfId="536"/>
    <cellStyle name="40% - Accent3 2 2" xfId="537"/>
    <cellStyle name="40% - Accent3 2 2 2" xfId="1653"/>
    <cellStyle name="40% - Accent3 2 2 2 2" xfId="1654"/>
    <cellStyle name="40% - Accent3 2 2 2 2 2" xfId="1655"/>
    <cellStyle name="40% - Accent3 2 2 2 2 2 2" xfId="1656"/>
    <cellStyle name="40% - Accent3 2 2 2 2 2 2 2" xfId="3382"/>
    <cellStyle name="40% - Accent3 2 2 2 2 2 3" xfId="1657"/>
    <cellStyle name="40% - Accent3 2 2 2 2 2 4" xfId="3383"/>
    <cellStyle name="40% - Accent3 2 2 2 2 3" xfId="1658"/>
    <cellStyle name="40% - Accent3 2 2 2 2 3 2" xfId="1659"/>
    <cellStyle name="40% - Accent3 2 2 2 2 3 3" xfId="3384"/>
    <cellStyle name="40% - Accent3 2 2 2 2 4" xfId="1660"/>
    <cellStyle name="40% - Accent3 2 2 2 2 5" xfId="3385"/>
    <cellStyle name="40% - Accent3 2 2 2 3" xfId="1661"/>
    <cellStyle name="40% - Accent3 2 2 2 3 2" xfId="1662"/>
    <cellStyle name="40% - Accent3 2 2 2 3 2 2" xfId="1663"/>
    <cellStyle name="40% - Accent3 2 2 2 3 2 3" xfId="3386"/>
    <cellStyle name="40% - Accent3 2 2 2 3 3" xfId="1664"/>
    <cellStyle name="40% - Accent3 2 2 2 3 4" xfId="3387"/>
    <cellStyle name="40% - Accent3 2 2 2 4" xfId="1665"/>
    <cellStyle name="40% - Accent3 2 2 2 4 2" xfId="1666"/>
    <cellStyle name="40% - Accent3 2 2 2 4 3" xfId="3388"/>
    <cellStyle name="40% - Accent3 2 2 2 5" xfId="1667"/>
    <cellStyle name="40% - Accent3 2 2 2 6" xfId="3389"/>
    <cellStyle name="40% - Accent3 2 2 3" xfId="1668"/>
    <cellStyle name="40% - Accent3 2 2 3 2" xfId="1669"/>
    <cellStyle name="40% - Accent3 2 2 3 2 2" xfId="1670"/>
    <cellStyle name="40% - Accent3 2 2 3 2 2 2" xfId="3390"/>
    <cellStyle name="40% - Accent3 2 2 3 2 3" xfId="1671"/>
    <cellStyle name="40% - Accent3 2 2 3 2 4" xfId="3391"/>
    <cellStyle name="40% - Accent3 2 2 3 3" xfId="1672"/>
    <cellStyle name="40% - Accent3 2 2 3 3 2" xfId="1673"/>
    <cellStyle name="40% - Accent3 2 2 3 3 3" xfId="3392"/>
    <cellStyle name="40% - Accent3 2 2 3 4" xfId="1674"/>
    <cellStyle name="40% - Accent3 2 2 3 5" xfId="3393"/>
    <cellStyle name="40% - Accent3 2 2 4" xfId="1675"/>
    <cellStyle name="40% - Accent3 2 2 4 2" xfId="1676"/>
    <cellStyle name="40% - Accent3 2 2 4 2 2" xfId="1677"/>
    <cellStyle name="40% - Accent3 2 2 4 2 3" xfId="3394"/>
    <cellStyle name="40% - Accent3 2 2 4 3" xfId="1678"/>
    <cellStyle name="40% - Accent3 2 2 4 4" xfId="3395"/>
    <cellStyle name="40% - Accent3 2 2 5" xfId="1679"/>
    <cellStyle name="40% - Accent3 2 2 5 2" xfId="1680"/>
    <cellStyle name="40% - Accent3 2 2 5 3" xfId="3396"/>
    <cellStyle name="40% - Accent3 2 2 6" xfId="1681"/>
    <cellStyle name="40% - Accent3 2 2 7" xfId="3397"/>
    <cellStyle name="40% - Accent3 2 3" xfId="538"/>
    <cellStyle name="40% - Accent3 2 3 2" xfId="1682"/>
    <cellStyle name="40% - Accent3 2 3 2 2" xfId="1683"/>
    <cellStyle name="40% - Accent3 2 3 2 2 2" xfId="1684"/>
    <cellStyle name="40% - Accent3 2 3 2 2 2 2" xfId="3398"/>
    <cellStyle name="40% - Accent3 2 3 2 2 3" xfId="1685"/>
    <cellStyle name="40% - Accent3 2 3 2 2 4" xfId="3399"/>
    <cellStyle name="40% - Accent3 2 3 2 3" xfId="1686"/>
    <cellStyle name="40% - Accent3 2 3 2 3 2" xfId="1687"/>
    <cellStyle name="40% - Accent3 2 3 2 3 3" xfId="3400"/>
    <cellStyle name="40% - Accent3 2 3 2 4" xfId="1688"/>
    <cellStyle name="40% - Accent3 2 3 2 5" xfId="3401"/>
    <cellStyle name="40% - Accent3 2 3 3" xfId="1689"/>
    <cellStyle name="40% - Accent3 2 3 3 2" xfId="1690"/>
    <cellStyle name="40% - Accent3 2 3 3 2 2" xfId="1691"/>
    <cellStyle name="40% - Accent3 2 3 3 2 3" xfId="3402"/>
    <cellStyle name="40% - Accent3 2 3 3 3" xfId="1692"/>
    <cellStyle name="40% - Accent3 2 3 3 4" xfId="3403"/>
    <cellStyle name="40% - Accent3 2 3 4" xfId="1693"/>
    <cellStyle name="40% - Accent3 2 3 4 2" xfId="1694"/>
    <cellStyle name="40% - Accent3 2 3 4 3" xfId="3404"/>
    <cellStyle name="40% - Accent3 2 3 5" xfId="1695"/>
    <cellStyle name="40% - Accent3 2 3 6" xfId="3405"/>
    <cellStyle name="40% - Accent3 2 4" xfId="1696"/>
    <cellStyle name="40% - Accent3 2 4 2" xfId="1697"/>
    <cellStyle name="40% - Accent3 2 4 2 2" xfId="1698"/>
    <cellStyle name="40% - Accent3 2 4 2 2 2" xfId="3406"/>
    <cellStyle name="40% - Accent3 2 4 2 3" xfId="1699"/>
    <cellStyle name="40% - Accent3 2 4 2 4" xfId="3407"/>
    <cellStyle name="40% - Accent3 2 4 3" xfId="1700"/>
    <cellStyle name="40% - Accent3 2 4 3 2" xfId="1701"/>
    <cellStyle name="40% - Accent3 2 4 3 3" xfId="3408"/>
    <cellStyle name="40% - Accent3 2 4 4" xfId="1702"/>
    <cellStyle name="40% - Accent3 2 4 5" xfId="3409"/>
    <cellStyle name="40% - Accent3 2 5" xfId="1703"/>
    <cellStyle name="40% - Accent3 2 5 2" xfId="1704"/>
    <cellStyle name="40% - Accent3 2 5 2 2" xfId="1705"/>
    <cellStyle name="40% - Accent3 2 5 2 3" xfId="3410"/>
    <cellStyle name="40% - Accent3 2 5 3" xfId="1706"/>
    <cellStyle name="40% - Accent3 2 5 4" xfId="3411"/>
    <cellStyle name="40% - Accent3 2 6" xfId="1707"/>
    <cellStyle name="40% - Accent3 2 6 2" xfId="1708"/>
    <cellStyle name="40% - Accent3 2 6 3" xfId="3412"/>
    <cellStyle name="40% - Accent3 2 7" xfId="1709"/>
    <cellStyle name="40% - Accent3 2 8" xfId="3413"/>
    <cellStyle name="40% - Accent3 3" xfId="539"/>
    <cellStyle name="40% - Accent3 3 2" xfId="540"/>
    <cellStyle name="40% - Accent3 3 2 2" xfId="1710"/>
    <cellStyle name="40% - Accent3 3 2 2 2" xfId="1711"/>
    <cellStyle name="40% - Accent3 3 2 2 2 2" xfId="1712"/>
    <cellStyle name="40% - Accent3 3 2 2 2 2 2" xfId="3414"/>
    <cellStyle name="40% - Accent3 3 2 2 2 3" xfId="1713"/>
    <cellStyle name="40% - Accent3 3 2 2 2 4" xfId="3415"/>
    <cellStyle name="40% - Accent3 3 2 2 3" xfId="1714"/>
    <cellStyle name="40% - Accent3 3 2 2 3 2" xfId="1715"/>
    <cellStyle name="40% - Accent3 3 2 2 3 3" xfId="3416"/>
    <cellStyle name="40% - Accent3 3 2 2 4" xfId="1716"/>
    <cellStyle name="40% - Accent3 3 2 2 5" xfId="3417"/>
    <cellStyle name="40% - Accent3 3 2 3" xfId="1717"/>
    <cellStyle name="40% - Accent3 3 2 3 2" xfId="1718"/>
    <cellStyle name="40% - Accent3 3 2 3 2 2" xfId="1719"/>
    <cellStyle name="40% - Accent3 3 2 3 2 3" xfId="3418"/>
    <cellStyle name="40% - Accent3 3 2 3 3" xfId="1720"/>
    <cellStyle name="40% - Accent3 3 2 3 4" xfId="3419"/>
    <cellStyle name="40% - Accent3 3 2 4" xfId="1721"/>
    <cellStyle name="40% - Accent3 3 2 4 2" xfId="1722"/>
    <cellStyle name="40% - Accent3 3 2 4 3" xfId="3420"/>
    <cellStyle name="40% - Accent3 3 2 5" xfId="1723"/>
    <cellStyle name="40% - Accent3 3 2 6" xfId="3421"/>
    <cellStyle name="40% - Accent3 3 3" xfId="541"/>
    <cellStyle name="40% - Accent3 3 3 2" xfId="1724"/>
    <cellStyle name="40% - Accent3 3 3 2 2" xfId="1725"/>
    <cellStyle name="40% - Accent3 3 3 2 2 2" xfId="3422"/>
    <cellStyle name="40% - Accent3 3 3 2 3" xfId="1726"/>
    <cellStyle name="40% - Accent3 3 3 2 4" xfId="3423"/>
    <cellStyle name="40% - Accent3 3 3 3" xfId="1727"/>
    <cellStyle name="40% - Accent3 3 3 3 2" xfId="1728"/>
    <cellStyle name="40% - Accent3 3 3 3 3" xfId="3424"/>
    <cellStyle name="40% - Accent3 3 3 4" xfId="1729"/>
    <cellStyle name="40% - Accent3 3 3 5" xfId="3425"/>
    <cellStyle name="40% - Accent3 3 4" xfId="1730"/>
    <cellStyle name="40% - Accent3 3 4 2" xfId="1731"/>
    <cellStyle name="40% - Accent3 3 4 2 2" xfId="1732"/>
    <cellStyle name="40% - Accent3 3 4 2 3" xfId="3426"/>
    <cellStyle name="40% - Accent3 3 4 3" xfId="1733"/>
    <cellStyle name="40% - Accent3 3 4 4" xfId="3427"/>
    <cellStyle name="40% - Accent3 3 5" xfId="1734"/>
    <cellStyle name="40% - Accent3 3 5 2" xfId="1735"/>
    <cellStyle name="40% - Accent3 3 5 3" xfId="3428"/>
    <cellStyle name="40% - Accent3 3 6" xfId="1736"/>
    <cellStyle name="40% - Accent3 3 7" xfId="3429"/>
    <cellStyle name="40% - Accent3 4" xfId="542"/>
    <cellStyle name="40% - Accent3 4 2" xfId="1737"/>
    <cellStyle name="40% - Accent3 4 2 2" xfId="1738"/>
    <cellStyle name="40% - Accent3 4 2 2 2" xfId="1739"/>
    <cellStyle name="40% - Accent3 4 2 2 2 2" xfId="3430"/>
    <cellStyle name="40% - Accent3 4 2 2 3" xfId="1740"/>
    <cellStyle name="40% - Accent3 4 2 2 4" xfId="3431"/>
    <cellStyle name="40% - Accent3 4 2 3" xfId="1741"/>
    <cellStyle name="40% - Accent3 4 2 3 2" xfId="1742"/>
    <cellStyle name="40% - Accent3 4 2 3 3" xfId="3432"/>
    <cellStyle name="40% - Accent3 4 2 4" xfId="1743"/>
    <cellStyle name="40% - Accent3 4 2 5" xfId="3433"/>
    <cellStyle name="40% - Accent3 4 3" xfId="1744"/>
    <cellStyle name="40% - Accent3 4 3 2" xfId="1745"/>
    <cellStyle name="40% - Accent3 4 3 2 2" xfId="1746"/>
    <cellStyle name="40% - Accent3 4 3 2 3" xfId="3434"/>
    <cellStyle name="40% - Accent3 4 3 3" xfId="1747"/>
    <cellStyle name="40% - Accent3 4 3 4" xfId="3435"/>
    <cellStyle name="40% - Accent3 4 4" xfId="1748"/>
    <cellStyle name="40% - Accent3 4 4 2" xfId="1749"/>
    <cellStyle name="40% - Accent3 4 4 3" xfId="3436"/>
    <cellStyle name="40% - Accent3 4 5" xfId="1750"/>
    <cellStyle name="40% - Accent3 4 6" xfId="3437"/>
    <cellStyle name="40% - Accent3 5" xfId="1751"/>
    <cellStyle name="40% - Accent3 5 2" xfId="1752"/>
    <cellStyle name="40% - Accent3 5 2 2" xfId="1753"/>
    <cellStyle name="40% - Accent3 5 2 2 2" xfId="1754"/>
    <cellStyle name="40% - Accent3 5 2 2 3" xfId="3438"/>
    <cellStyle name="40% - Accent3 5 2 3" xfId="1755"/>
    <cellStyle name="40% - Accent3 5 2 4" xfId="3439"/>
    <cellStyle name="40% - Accent3 5 3" xfId="1756"/>
    <cellStyle name="40% - Accent3 5 3 2" xfId="1757"/>
    <cellStyle name="40% - Accent3 5 3 3" xfId="3440"/>
    <cellStyle name="40% - Accent3 5 4" xfId="1758"/>
    <cellStyle name="40% - Accent3 5 5" xfId="3441"/>
    <cellStyle name="40% - Accent3 6" xfId="1759"/>
    <cellStyle name="40% - Accent3 6 2" xfId="1760"/>
    <cellStyle name="40% - Accent3 6 2 2" xfId="1761"/>
    <cellStyle name="40% - Accent3 6 2 3" xfId="3442"/>
    <cellStyle name="40% - Accent3 6 3" xfId="1762"/>
    <cellStyle name="40% - Accent3 6 4" xfId="1763"/>
    <cellStyle name="40% - Accent3 6 5" xfId="3443"/>
    <cellStyle name="40% - Accent3 7" xfId="1764"/>
    <cellStyle name="40% - Accent3 7 2" xfId="1765"/>
    <cellStyle name="40% - Accent3 7 3" xfId="3444"/>
    <cellStyle name="40% - Accent3 8" xfId="1766"/>
    <cellStyle name="40% - Accent3 9" xfId="3445"/>
    <cellStyle name="40% - Accent4 2" xfId="543"/>
    <cellStyle name="40% - Accent4 2 2" xfId="544"/>
    <cellStyle name="40% - Accent4 2 2 2" xfId="1767"/>
    <cellStyle name="40% - Accent4 2 2 2 2" xfId="1768"/>
    <cellStyle name="40% - Accent4 2 2 2 2 2" xfId="1769"/>
    <cellStyle name="40% - Accent4 2 2 2 2 2 2" xfId="1770"/>
    <cellStyle name="40% - Accent4 2 2 2 2 2 2 2" xfId="3446"/>
    <cellStyle name="40% - Accent4 2 2 2 2 2 3" xfId="1771"/>
    <cellStyle name="40% - Accent4 2 2 2 2 2 4" xfId="3447"/>
    <cellStyle name="40% - Accent4 2 2 2 2 3" xfId="1772"/>
    <cellStyle name="40% - Accent4 2 2 2 2 3 2" xfId="1773"/>
    <cellStyle name="40% - Accent4 2 2 2 2 3 3" xfId="3448"/>
    <cellStyle name="40% - Accent4 2 2 2 2 4" xfId="1774"/>
    <cellStyle name="40% - Accent4 2 2 2 2 5" xfId="3449"/>
    <cellStyle name="40% - Accent4 2 2 2 3" xfId="1775"/>
    <cellStyle name="40% - Accent4 2 2 2 3 2" xfId="1776"/>
    <cellStyle name="40% - Accent4 2 2 2 3 2 2" xfId="1777"/>
    <cellStyle name="40% - Accent4 2 2 2 3 2 3" xfId="3450"/>
    <cellStyle name="40% - Accent4 2 2 2 3 3" xfId="1778"/>
    <cellStyle name="40% - Accent4 2 2 2 3 4" xfId="3451"/>
    <cellStyle name="40% - Accent4 2 2 2 4" xfId="1779"/>
    <cellStyle name="40% - Accent4 2 2 2 4 2" xfId="1780"/>
    <cellStyle name="40% - Accent4 2 2 2 4 3" xfId="3452"/>
    <cellStyle name="40% - Accent4 2 2 2 5" xfId="1781"/>
    <cellStyle name="40% - Accent4 2 2 2 6" xfId="3453"/>
    <cellStyle name="40% - Accent4 2 2 3" xfId="1782"/>
    <cellStyle name="40% - Accent4 2 2 3 2" xfId="1783"/>
    <cellStyle name="40% - Accent4 2 2 3 2 2" xfId="1784"/>
    <cellStyle name="40% - Accent4 2 2 3 2 2 2" xfId="3454"/>
    <cellStyle name="40% - Accent4 2 2 3 2 3" xfId="1785"/>
    <cellStyle name="40% - Accent4 2 2 3 2 4" xfId="3455"/>
    <cellStyle name="40% - Accent4 2 2 3 3" xfId="1786"/>
    <cellStyle name="40% - Accent4 2 2 3 3 2" xfId="1787"/>
    <cellStyle name="40% - Accent4 2 2 3 3 3" xfId="3456"/>
    <cellStyle name="40% - Accent4 2 2 3 4" xfId="1788"/>
    <cellStyle name="40% - Accent4 2 2 3 5" xfId="3457"/>
    <cellStyle name="40% - Accent4 2 2 4" xfId="1789"/>
    <cellStyle name="40% - Accent4 2 2 4 2" xfId="1790"/>
    <cellStyle name="40% - Accent4 2 2 4 2 2" xfId="1791"/>
    <cellStyle name="40% - Accent4 2 2 4 2 3" xfId="3458"/>
    <cellStyle name="40% - Accent4 2 2 4 3" xfId="1792"/>
    <cellStyle name="40% - Accent4 2 2 4 4" xfId="3459"/>
    <cellStyle name="40% - Accent4 2 2 5" xfId="1793"/>
    <cellStyle name="40% - Accent4 2 2 5 2" xfId="1794"/>
    <cellStyle name="40% - Accent4 2 2 5 3" xfId="3460"/>
    <cellStyle name="40% - Accent4 2 2 6" xfId="1795"/>
    <cellStyle name="40% - Accent4 2 2 7" xfId="3461"/>
    <cellStyle name="40% - Accent4 2 3" xfId="545"/>
    <cellStyle name="40% - Accent4 2 3 2" xfId="1796"/>
    <cellStyle name="40% - Accent4 2 3 2 2" xfId="1797"/>
    <cellStyle name="40% - Accent4 2 3 2 2 2" xfId="1798"/>
    <cellStyle name="40% - Accent4 2 3 2 2 2 2" xfId="3462"/>
    <cellStyle name="40% - Accent4 2 3 2 2 3" xfId="1799"/>
    <cellStyle name="40% - Accent4 2 3 2 2 4" xfId="3463"/>
    <cellStyle name="40% - Accent4 2 3 2 3" xfId="1800"/>
    <cellStyle name="40% - Accent4 2 3 2 3 2" xfId="1801"/>
    <cellStyle name="40% - Accent4 2 3 2 3 3" xfId="3464"/>
    <cellStyle name="40% - Accent4 2 3 2 4" xfId="1802"/>
    <cellStyle name="40% - Accent4 2 3 2 5" xfId="3465"/>
    <cellStyle name="40% - Accent4 2 3 3" xfId="1803"/>
    <cellStyle name="40% - Accent4 2 3 3 2" xfId="1804"/>
    <cellStyle name="40% - Accent4 2 3 3 2 2" xfId="1805"/>
    <cellStyle name="40% - Accent4 2 3 3 2 3" xfId="3466"/>
    <cellStyle name="40% - Accent4 2 3 3 3" xfId="1806"/>
    <cellStyle name="40% - Accent4 2 3 3 4" xfId="3467"/>
    <cellStyle name="40% - Accent4 2 3 4" xfId="1807"/>
    <cellStyle name="40% - Accent4 2 3 4 2" xfId="1808"/>
    <cellStyle name="40% - Accent4 2 3 4 3" xfId="3468"/>
    <cellStyle name="40% - Accent4 2 3 5" xfId="1809"/>
    <cellStyle name="40% - Accent4 2 3 6" xfId="3469"/>
    <cellStyle name="40% - Accent4 2 4" xfId="1810"/>
    <cellStyle name="40% - Accent4 2 4 2" xfId="1811"/>
    <cellStyle name="40% - Accent4 2 4 2 2" xfId="1812"/>
    <cellStyle name="40% - Accent4 2 4 2 2 2" xfId="3470"/>
    <cellStyle name="40% - Accent4 2 4 2 3" xfId="1813"/>
    <cellStyle name="40% - Accent4 2 4 2 4" xfId="3471"/>
    <cellStyle name="40% - Accent4 2 4 3" xfId="1814"/>
    <cellStyle name="40% - Accent4 2 4 3 2" xfId="1815"/>
    <cellStyle name="40% - Accent4 2 4 3 3" xfId="3472"/>
    <cellStyle name="40% - Accent4 2 4 4" xfId="1816"/>
    <cellStyle name="40% - Accent4 2 4 5" xfId="3473"/>
    <cellStyle name="40% - Accent4 2 5" xfId="1817"/>
    <cellStyle name="40% - Accent4 2 5 2" xfId="1818"/>
    <cellStyle name="40% - Accent4 2 5 2 2" xfId="1819"/>
    <cellStyle name="40% - Accent4 2 5 2 3" xfId="3474"/>
    <cellStyle name="40% - Accent4 2 5 3" xfId="1820"/>
    <cellStyle name="40% - Accent4 2 5 4" xfId="3475"/>
    <cellStyle name="40% - Accent4 2 6" xfId="1821"/>
    <cellStyle name="40% - Accent4 2 6 2" xfId="1822"/>
    <cellStyle name="40% - Accent4 2 6 3" xfId="3476"/>
    <cellStyle name="40% - Accent4 2 7" xfId="1823"/>
    <cellStyle name="40% - Accent4 2 8" xfId="3477"/>
    <cellStyle name="40% - Accent4 3" xfId="546"/>
    <cellStyle name="40% - Accent4 3 2" xfId="547"/>
    <cellStyle name="40% - Accent4 3 2 2" xfId="1824"/>
    <cellStyle name="40% - Accent4 3 2 2 2" xfId="1825"/>
    <cellStyle name="40% - Accent4 3 2 2 2 2" xfId="1826"/>
    <cellStyle name="40% - Accent4 3 2 2 2 2 2" xfId="3478"/>
    <cellStyle name="40% - Accent4 3 2 2 2 3" xfId="1827"/>
    <cellStyle name="40% - Accent4 3 2 2 2 4" xfId="3479"/>
    <cellStyle name="40% - Accent4 3 2 2 3" xfId="1828"/>
    <cellStyle name="40% - Accent4 3 2 2 3 2" xfId="1829"/>
    <cellStyle name="40% - Accent4 3 2 2 3 3" xfId="3480"/>
    <cellStyle name="40% - Accent4 3 2 2 4" xfId="1830"/>
    <cellStyle name="40% - Accent4 3 2 2 5" xfId="3481"/>
    <cellStyle name="40% - Accent4 3 2 3" xfId="1831"/>
    <cellStyle name="40% - Accent4 3 2 3 2" xfId="1832"/>
    <cellStyle name="40% - Accent4 3 2 3 2 2" xfId="1833"/>
    <cellStyle name="40% - Accent4 3 2 3 2 3" xfId="3482"/>
    <cellStyle name="40% - Accent4 3 2 3 3" xfId="1834"/>
    <cellStyle name="40% - Accent4 3 2 3 4" xfId="3483"/>
    <cellStyle name="40% - Accent4 3 2 4" xfId="1835"/>
    <cellStyle name="40% - Accent4 3 2 4 2" xfId="1836"/>
    <cellStyle name="40% - Accent4 3 2 4 3" xfId="3484"/>
    <cellStyle name="40% - Accent4 3 2 5" xfId="1837"/>
    <cellStyle name="40% - Accent4 3 2 6" xfId="3485"/>
    <cellStyle name="40% - Accent4 3 3" xfId="548"/>
    <cellStyle name="40% - Accent4 3 3 2" xfId="1838"/>
    <cellStyle name="40% - Accent4 3 3 2 2" xfId="1839"/>
    <cellStyle name="40% - Accent4 3 3 2 2 2" xfId="3486"/>
    <cellStyle name="40% - Accent4 3 3 2 3" xfId="1840"/>
    <cellStyle name="40% - Accent4 3 3 2 4" xfId="3487"/>
    <cellStyle name="40% - Accent4 3 3 3" xfId="1841"/>
    <cellStyle name="40% - Accent4 3 3 3 2" xfId="1842"/>
    <cellStyle name="40% - Accent4 3 3 3 3" xfId="3488"/>
    <cellStyle name="40% - Accent4 3 3 4" xfId="1843"/>
    <cellStyle name="40% - Accent4 3 3 5" xfId="3489"/>
    <cellStyle name="40% - Accent4 3 4" xfId="1844"/>
    <cellStyle name="40% - Accent4 3 4 2" xfId="1845"/>
    <cellStyle name="40% - Accent4 3 4 2 2" xfId="1846"/>
    <cellStyle name="40% - Accent4 3 4 2 3" xfId="3490"/>
    <cellStyle name="40% - Accent4 3 4 3" xfId="1847"/>
    <cellStyle name="40% - Accent4 3 4 4" xfId="3491"/>
    <cellStyle name="40% - Accent4 3 5" xfId="1848"/>
    <cellStyle name="40% - Accent4 3 5 2" xfId="1849"/>
    <cellStyle name="40% - Accent4 3 5 3" xfId="3492"/>
    <cellStyle name="40% - Accent4 3 6" xfId="1850"/>
    <cellStyle name="40% - Accent4 3 7" xfId="3493"/>
    <cellStyle name="40% - Accent4 4" xfId="549"/>
    <cellStyle name="40% - Accent4 4 2" xfId="1851"/>
    <cellStyle name="40% - Accent4 4 2 2" xfId="1852"/>
    <cellStyle name="40% - Accent4 4 2 2 2" xfId="1853"/>
    <cellStyle name="40% - Accent4 4 2 2 2 2" xfId="3494"/>
    <cellStyle name="40% - Accent4 4 2 2 3" xfId="1854"/>
    <cellStyle name="40% - Accent4 4 2 2 4" xfId="3495"/>
    <cellStyle name="40% - Accent4 4 2 3" xfId="1855"/>
    <cellStyle name="40% - Accent4 4 2 3 2" xfId="1856"/>
    <cellStyle name="40% - Accent4 4 2 3 3" xfId="3496"/>
    <cellStyle name="40% - Accent4 4 2 4" xfId="1857"/>
    <cellStyle name="40% - Accent4 4 2 5" xfId="3497"/>
    <cellStyle name="40% - Accent4 4 3" xfId="1858"/>
    <cellStyle name="40% - Accent4 4 3 2" xfId="1859"/>
    <cellStyle name="40% - Accent4 4 3 2 2" xfId="1860"/>
    <cellStyle name="40% - Accent4 4 3 2 3" xfId="3498"/>
    <cellStyle name="40% - Accent4 4 3 3" xfId="1861"/>
    <cellStyle name="40% - Accent4 4 3 4" xfId="3499"/>
    <cellStyle name="40% - Accent4 4 4" xfId="1862"/>
    <cellStyle name="40% - Accent4 4 4 2" xfId="1863"/>
    <cellStyle name="40% - Accent4 4 4 3" xfId="3500"/>
    <cellStyle name="40% - Accent4 4 5" xfId="1864"/>
    <cellStyle name="40% - Accent4 4 6" xfId="3501"/>
    <cellStyle name="40% - Accent4 5" xfId="1865"/>
    <cellStyle name="40% - Accent4 5 2" xfId="1866"/>
    <cellStyle name="40% - Accent4 5 2 2" xfId="1867"/>
    <cellStyle name="40% - Accent4 5 2 2 2" xfId="1868"/>
    <cellStyle name="40% - Accent4 5 2 2 3" xfId="3502"/>
    <cellStyle name="40% - Accent4 5 2 3" xfId="1869"/>
    <cellStyle name="40% - Accent4 5 2 4" xfId="3503"/>
    <cellStyle name="40% - Accent4 5 3" xfId="1870"/>
    <cellStyle name="40% - Accent4 5 3 2" xfId="1871"/>
    <cellStyle name="40% - Accent4 5 3 3" xfId="3504"/>
    <cellStyle name="40% - Accent4 5 4" xfId="1872"/>
    <cellStyle name="40% - Accent4 5 5" xfId="3505"/>
    <cellStyle name="40% - Accent4 6" xfId="1873"/>
    <cellStyle name="40% - Accent4 6 2" xfId="1874"/>
    <cellStyle name="40% - Accent4 6 2 2" xfId="1875"/>
    <cellStyle name="40% - Accent4 6 2 3" xfId="3506"/>
    <cellStyle name="40% - Accent4 6 3" xfId="1876"/>
    <cellStyle name="40% - Accent4 6 4" xfId="1877"/>
    <cellStyle name="40% - Accent4 6 5" xfId="3507"/>
    <cellStyle name="40% - Accent4 7" xfId="1878"/>
    <cellStyle name="40% - Accent4 7 2" xfId="1879"/>
    <cellStyle name="40% - Accent4 7 3" xfId="3508"/>
    <cellStyle name="40% - Accent4 8" xfId="1880"/>
    <cellStyle name="40% - Accent4 9" xfId="3509"/>
    <cellStyle name="40% - Accent5 2" xfId="550"/>
    <cellStyle name="40% - Accent5 2 2" xfId="551"/>
    <cellStyle name="40% - Accent5 2 2 2" xfId="1881"/>
    <cellStyle name="40% - Accent5 2 2 2 2" xfId="1882"/>
    <cellStyle name="40% - Accent5 2 2 2 2 2" xfId="1883"/>
    <cellStyle name="40% - Accent5 2 2 2 2 2 2" xfId="1884"/>
    <cellStyle name="40% - Accent5 2 2 2 2 2 2 2" xfId="3510"/>
    <cellStyle name="40% - Accent5 2 2 2 2 2 3" xfId="1885"/>
    <cellStyle name="40% - Accent5 2 2 2 2 2 4" xfId="3511"/>
    <cellStyle name="40% - Accent5 2 2 2 2 3" xfId="1886"/>
    <cellStyle name="40% - Accent5 2 2 2 2 3 2" xfId="1887"/>
    <cellStyle name="40% - Accent5 2 2 2 2 3 3" xfId="3512"/>
    <cellStyle name="40% - Accent5 2 2 2 2 4" xfId="1888"/>
    <cellStyle name="40% - Accent5 2 2 2 2 5" xfId="3513"/>
    <cellStyle name="40% - Accent5 2 2 2 3" xfId="1889"/>
    <cellStyle name="40% - Accent5 2 2 2 3 2" xfId="1890"/>
    <cellStyle name="40% - Accent5 2 2 2 3 2 2" xfId="1891"/>
    <cellStyle name="40% - Accent5 2 2 2 3 2 3" xfId="3514"/>
    <cellStyle name="40% - Accent5 2 2 2 3 3" xfId="1892"/>
    <cellStyle name="40% - Accent5 2 2 2 3 4" xfId="3515"/>
    <cellStyle name="40% - Accent5 2 2 2 4" xfId="1893"/>
    <cellStyle name="40% - Accent5 2 2 2 4 2" xfId="1894"/>
    <cellStyle name="40% - Accent5 2 2 2 4 3" xfId="3516"/>
    <cellStyle name="40% - Accent5 2 2 2 5" xfId="1895"/>
    <cellStyle name="40% - Accent5 2 2 2 6" xfId="3517"/>
    <cellStyle name="40% - Accent5 2 2 3" xfId="1896"/>
    <cellStyle name="40% - Accent5 2 2 3 2" xfId="1897"/>
    <cellStyle name="40% - Accent5 2 2 3 2 2" xfId="1898"/>
    <cellStyle name="40% - Accent5 2 2 3 2 2 2" xfId="3518"/>
    <cellStyle name="40% - Accent5 2 2 3 2 3" xfId="1899"/>
    <cellStyle name="40% - Accent5 2 2 3 2 4" xfId="3519"/>
    <cellStyle name="40% - Accent5 2 2 3 3" xfId="1900"/>
    <cellStyle name="40% - Accent5 2 2 3 3 2" xfId="1901"/>
    <cellStyle name="40% - Accent5 2 2 3 3 3" xfId="3520"/>
    <cellStyle name="40% - Accent5 2 2 3 4" xfId="1902"/>
    <cellStyle name="40% - Accent5 2 2 3 5" xfId="3521"/>
    <cellStyle name="40% - Accent5 2 2 4" xfId="1903"/>
    <cellStyle name="40% - Accent5 2 2 4 2" xfId="1904"/>
    <cellStyle name="40% - Accent5 2 2 4 2 2" xfId="1905"/>
    <cellStyle name="40% - Accent5 2 2 4 2 3" xfId="3522"/>
    <cellStyle name="40% - Accent5 2 2 4 3" xfId="1906"/>
    <cellStyle name="40% - Accent5 2 2 4 4" xfId="3523"/>
    <cellStyle name="40% - Accent5 2 2 5" xfId="1907"/>
    <cellStyle name="40% - Accent5 2 2 5 2" xfId="1908"/>
    <cellStyle name="40% - Accent5 2 2 5 3" xfId="3524"/>
    <cellStyle name="40% - Accent5 2 2 6" xfId="1909"/>
    <cellStyle name="40% - Accent5 2 2 7" xfId="3525"/>
    <cellStyle name="40% - Accent5 2 3" xfId="552"/>
    <cellStyle name="40% - Accent5 2 3 2" xfId="1910"/>
    <cellStyle name="40% - Accent5 2 3 2 2" xfId="1911"/>
    <cellStyle name="40% - Accent5 2 3 2 2 2" xfId="1912"/>
    <cellStyle name="40% - Accent5 2 3 2 2 2 2" xfId="3526"/>
    <cellStyle name="40% - Accent5 2 3 2 2 3" xfId="1913"/>
    <cellStyle name="40% - Accent5 2 3 2 2 4" xfId="3527"/>
    <cellStyle name="40% - Accent5 2 3 2 3" xfId="1914"/>
    <cellStyle name="40% - Accent5 2 3 2 3 2" xfId="1915"/>
    <cellStyle name="40% - Accent5 2 3 2 3 3" xfId="3528"/>
    <cellStyle name="40% - Accent5 2 3 2 4" xfId="1916"/>
    <cellStyle name="40% - Accent5 2 3 2 5" xfId="3529"/>
    <cellStyle name="40% - Accent5 2 3 3" xfId="1917"/>
    <cellStyle name="40% - Accent5 2 3 3 2" xfId="1918"/>
    <cellStyle name="40% - Accent5 2 3 3 2 2" xfId="1919"/>
    <cellStyle name="40% - Accent5 2 3 3 2 3" xfId="3530"/>
    <cellStyle name="40% - Accent5 2 3 3 3" xfId="1920"/>
    <cellStyle name="40% - Accent5 2 3 3 4" xfId="3531"/>
    <cellStyle name="40% - Accent5 2 3 4" xfId="1921"/>
    <cellStyle name="40% - Accent5 2 3 4 2" xfId="1922"/>
    <cellStyle name="40% - Accent5 2 3 4 3" xfId="3532"/>
    <cellStyle name="40% - Accent5 2 3 5" xfId="1923"/>
    <cellStyle name="40% - Accent5 2 3 6" xfId="3533"/>
    <cellStyle name="40% - Accent5 2 4" xfId="1924"/>
    <cellStyle name="40% - Accent5 2 4 2" xfId="1925"/>
    <cellStyle name="40% - Accent5 2 4 2 2" xfId="1926"/>
    <cellStyle name="40% - Accent5 2 4 2 2 2" xfId="3534"/>
    <cellStyle name="40% - Accent5 2 4 2 3" xfId="1927"/>
    <cellStyle name="40% - Accent5 2 4 2 4" xfId="3535"/>
    <cellStyle name="40% - Accent5 2 4 3" xfId="1928"/>
    <cellStyle name="40% - Accent5 2 4 3 2" xfId="1929"/>
    <cellStyle name="40% - Accent5 2 4 3 3" xfId="3536"/>
    <cellStyle name="40% - Accent5 2 4 4" xfId="1930"/>
    <cellStyle name="40% - Accent5 2 4 5" xfId="3537"/>
    <cellStyle name="40% - Accent5 2 5" xfId="1931"/>
    <cellStyle name="40% - Accent5 2 5 2" xfId="1932"/>
    <cellStyle name="40% - Accent5 2 5 2 2" xfId="1933"/>
    <cellStyle name="40% - Accent5 2 5 2 3" xfId="3538"/>
    <cellStyle name="40% - Accent5 2 5 3" xfId="1934"/>
    <cellStyle name="40% - Accent5 2 5 4" xfId="3539"/>
    <cellStyle name="40% - Accent5 2 6" xfId="1935"/>
    <cellStyle name="40% - Accent5 2 6 2" xfId="1936"/>
    <cellStyle name="40% - Accent5 2 6 3" xfId="3540"/>
    <cellStyle name="40% - Accent5 2 7" xfId="1937"/>
    <cellStyle name="40% - Accent5 2 8" xfId="3541"/>
    <cellStyle name="40% - Accent5 3" xfId="553"/>
    <cellStyle name="40% - Accent5 3 2" xfId="554"/>
    <cellStyle name="40% - Accent5 3 2 2" xfId="1938"/>
    <cellStyle name="40% - Accent5 3 2 2 2" xfId="1939"/>
    <cellStyle name="40% - Accent5 3 2 2 2 2" xfId="1940"/>
    <cellStyle name="40% - Accent5 3 2 2 2 2 2" xfId="3542"/>
    <cellStyle name="40% - Accent5 3 2 2 2 3" xfId="1941"/>
    <cellStyle name="40% - Accent5 3 2 2 2 4" xfId="3543"/>
    <cellStyle name="40% - Accent5 3 2 2 3" xfId="1942"/>
    <cellStyle name="40% - Accent5 3 2 2 3 2" xfId="1943"/>
    <cellStyle name="40% - Accent5 3 2 2 3 3" xfId="3544"/>
    <cellStyle name="40% - Accent5 3 2 2 4" xfId="1944"/>
    <cellStyle name="40% - Accent5 3 2 2 5" xfId="3545"/>
    <cellStyle name="40% - Accent5 3 2 3" xfId="1945"/>
    <cellStyle name="40% - Accent5 3 2 3 2" xfId="1946"/>
    <cellStyle name="40% - Accent5 3 2 3 2 2" xfId="1947"/>
    <cellStyle name="40% - Accent5 3 2 3 2 3" xfId="3546"/>
    <cellStyle name="40% - Accent5 3 2 3 3" xfId="1948"/>
    <cellStyle name="40% - Accent5 3 2 3 4" xfId="3547"/>
    <cellStyle name="40% - Accent5 3 2 4" xfId="1949"/>
    <cellStyle name="40% - Accent5 3 2 4 2" xfId="1950"/>
    <cellStyle name="40% - Accent5 3 2 4 3" xfId="3548"/>
    <cellStyle name="40% - Accent5 3 2 5" xfId="1951"/>
    <cellStyle name="40% - Accent5 3 2 6" xfId="3549"/>
    <cellStyle name="40% - Accent5 3 3" xfId="555"/>
    <cellStyle name="40% - Accent5 3 3 2" xfId="1952"/>
    <cellStyle name="40% - Accent5 3 3 2 2" xfId="1953"/>
    <cellStyle name="40% - Accent5 3 3 2 2 2" xfId="3550"/>
    <cellStyle name="40% - Accent5 3 3 2 3" xfId="1954"/>
    <cellStyle name="40% - Accent5 3 3 2 4" xfId="3551"/>
    <cellStyle name="40% - Accent5 3 3 3" xfId="1955"/>
    <cellStyle name="40% - Accent5 3 3 3 2" xfId="1956"/>
    <cellStyle name="40% - Accent5 3 3 3 3" xfId="3552"/>
    <cellStyle name="40% - Accent5 3 3 4" xfId="1957"/>
    <cellStyle name="40% - Accent5 3 3 5" xfId="3553"/>
    <cellStyle name="40% - Accent5 3 4" xfId="1958"/>
    <cellStyle name="40% - Accent5 3 4 2" xfId="1959"/>
    <cellStyle name="40% - Accent5 3 4 2 2" xfId="1960"/>
    <cellStyle name="40% - Accent5 3 4 2 3" xfId="3554"/>
    <cellStyle name="40% - Accent5 3 4 3" xfId="1961"/>
    <cellStyle name="40% - Accent5 3 4 4" xfId="3555"/>
    <cellStyle name="40% - Accent5 3 5" xfId="1962"/>
    <cellStyle name="40% - Accent5 3 5 2" xfId="1963"/>
    <cellStyle name="40% - Accent5 3 5 3" xfId="3556"/>
    <cellStyle name="40% - Accent5 3 6" xfId="1964"/>
    <cellStyle name="40% - Accent5 3 7" xfId="3557"/>
    <cellStyle name="40% - Accent5 4" xfId="556"/>
    <cellStyle name="40% - Accent5 4 2" xfId="1965"/>
    <cellStyle name="40% - Accent5 4 2 2" xfId="1966"/>
    <cellStyle name="40% - Accent5 4 2 2 2" xfId="1967"/>
    <cellStyle name="40% - Accent5 4 2 2 2 2" xfId="3558"/>
    <cellStyle name="40% - Accent5 4 2 2 3" xfId="1968"/>
    <cellStyle name="40% - Accent5 4 2 2 4" xfId="3559"/>
    <cellStyle name="40% - Accent5 4 2 3" xfId="1969"/>
    <cellStyle name="40% - Accent5 4 2 3 2" xfId="1970"/>
    <cellStyle name="40% - Accent5 4 2 3 3" xfId="3560"/>
    <cellStyle name="40% - Accent5 4 2 4" xfId="1971"/>
    <cellStyle name="40% - Accent5 4 2 5" xfId="3561"/>
    <cellStyle name="40% - Accent5 4 3" xfId="1972"/>
    <cellStyle name="40% - Accent5 4 3 2" xfId="1973"/>
    <cellStyle name="40% - Accent5 4 3 2 2" xfId="1974"/>
    <cellStyle name="40% - Accent5 4 3 2 3" xfId="3562"/>
    <cellStyle name="40% - Accent5 4 3 3" xfId="1975"/>
    <cellStyle name="40% - Accent5 4 3 4" xfId="3563"/>
    <cellStyle name="40% - Accent5 4 4" xfId="1976"/>
    <cellStyle name="40% - Accent5 4 4 2" xfId="1977"/>
    <cellStyle name="40% - Accent5 4 4 3" xfId="3564"/>
    <cellStyle name="40% - Accent5 4 5" xfId="1978"/>
    <cellStyle name="40% - Accent5 4 6" xfId="3565"/>
    <cellStyle name="40% - Accent5 5" xfId="1979"/>
    <cellStyle name="40% - Accent5 5 2" xfId="1980"/>
    <cellStyle name="40% - Accent5 5 2 2" xfId="1981"/>
    <cellStyle name="40% - Accent5 5 2 2 2" xfId="1982"/>
    <cellStyle name="40% - Accent5 5 2 2 3" xfId="3566"/>
    <cellStyle name="40% - Accent5 5 2 3" xfId="1983"/>
    <cellStyle name="40% - Accent5 5 2 4" xfId="3567"/>
    <cellStyle name="40% - Accent5 5 3" xfId="1984"/>
    <cellStyle name="40% - Accent5 5 3 2" xfId="1985"/>
    <cellStyle name="40% - Accent5 5 3 3" xfId="3568"/>
    <cellStyle name="40% - Accent5 5 4" xfId="1986"/>
    <cellStyle name="40% - Accent5 5 5" xfId="3569"/>
    <cellStyle name="40% - Accent5 6" xfId="1987"/>
    <cellStyle name="40% - Accent5 6 2" xfId="1988"/>
    <cellStyle name="40% - Accent5 6 2 2" xfId="1989"/>
    <cellStyle name="40% - Accent5 6 2 3" xfId="3570"/>
    <cellStyle name="40% - Accent5 6 3" xfId="1990"/>
    <cellStyle name="40% - Accent5 6 4" xfId="1991"/>
    <cellStyle name="40% - Accent5 6 5" xfId="3571"/>
    <cellStyle name="40% - Accent5 7" xfId="1992"/>
    <cellStyle name="40% - Accent5 7 2" xfId="1993"/>
    <cellStyle name="40% - Accent5 7 3" xfId="3572"/>
    <cellStyle name="40% - Accent5 8" xfId="1994"/>
    <cellStyle name="40% - Accent5 9" xfId="3573"/>
    <cellStyle name="40% - Accent6 2" xfId="557"/>
    <cellStyle name="40% - Accent6 2 2" xfId="558"/>
    <cellStyle name="40% - Accent6 2 2 2" xfId="1995"/>
    <cellStyle name="40% - Accent6 2 2 2 2" xfId="1996"/>
    <cellStyle name="40% - Accent6 2 2 2 2 2" xfId="1997"/>
    <cellStyle name="40% - Accent6 2 2 2 2 2 2" xfId="1998"/>
    <cellStyle name="40% - Accent6 2 2 2 2 2 2 2" xfId="3574"/>
    <cellStyle name="40% - Accent6 2 2 2 2 2 3" xfId="1999"/>
    <cellStyle name="40% - Accent6 2 2 2 2 2 4" xfId="3575"/>
    <cellStyle name="40% - Accent6 2 2 2 2 3" xfId="2000"/>
    <cellStyle name="40% - Accent6 2 2 2 2 3 2" xfId="2001"/>
    <cellStyle name="40% - Accent6 2 2 2 2 3 3" xfId="3576"/>
    <cellStyle name="40% - Accent6 2 2 2 2 4" xfId="2002"/>
    <cellStyle name="40% - Accent6 2 2 2 2 5" xfId="3577"/>
    <cellStyle name="40% - Accent6 2 2 2 3" xfId="2003"/>
    <cellStyle name="40% - Accent6 2 2 2 3 2" xfId="2004"/>
    <cellStyle name="40% - Accent6 2 2 2 3 2 2" xfId="2005"/>
    <cellStyle name="40% - Accent6 2 2 2 3 2 3" xfId="3578"/>
    <cellStyle name="40% - Accent6 2 2 2 3 3" xfId="2006"/>
    <cellStyle name="40% - Accent6 2 2 2 3 4" xfId="3579"/>
    <cellStyle name="40% - Accent6 2 2 2 4" xfId="2007"/>
    <cellStyle name="40% - Accent6 2 2 2 4 2" xfId="2008"/>
    <cellStyle name="40% - Accent6 2 2 2 4 3" xfId="3580"/>
    <cellStyle name="40% - Accent6 2 2 2 5" xfId="2009"/>
    <cellStyle name="40% - Accent6 2 2 2 6" xfId="3581"/>
    <cellStyle name="40% - Accent6 2 2 3" xfId="2010"/>
    <cellStyle name="40% - Accent6 2 2 3 2" xfId="2011"/>
    <cellStyle name="40% - Accent6 2 2 3 2 2" xfId="2012"/>
    <cellStyle name="40% - Accent6 2 2 3 2 2 2" xfId="3582"/>
    <cellStyle name="40% - Accent6 2 2 3 2 3" xfId="2013"/>
    <cellStyle name="40% - Accent6 2 2 3 2 4" xfId="3583"/>
    <cellStyle name="40% - Accent6 2 2 3 3" xfId="2014"/>
    <cellStyle name="40% - Accent6 2 2 3 3 2" xfId="2015"/>
    <cellStyle name="40% - Accent6 2 2 3 3 3" xfId="3584"/>
    <cellStyle name="40% - Accent6 2 2 3 4" xfId="2016"/>
    <cellStyle name="40% - Accent6 2 2 3 5" xfId="3585"/>
    <cellStyle name="40% - Accent6 2 2 4" xfId="2017"/>
    <cellStyle name="40% - Accent6 2 2 4 2" xfId="2018"/>
    <cellStyle name="40% - Accent6 2 2 4 2 2" xfId="2019"/>
    <cellStyle name="40% - Accent6 2 2 4 2 3" xfId="3586"/>
    <cellStyle name="40% - Accent6 2 2 4 3" xfId="2020"/>
    <cellStyle name="40% - Accent6 2 2 4 4" xfId="3587"/>
    <cellStyle name="40% - Accent6 2 2 5" xfId="2021"/>
    <cellStyle name="40% - Accent6 2 2 5 2" xfId="2022"/>
    <cellStyle name="40% - Accent6 2 2 5 3" xfId="3588"/>
    <cellStyle name="40% - Accent6 2 2 6" xfId="2023"/>
    <cellStyle name="40% - Accent6 2 2 7" xfId="3589"/>
    <cellStyle name="40% - Accent6 2 3" xfId="559"/>
    <cellStyle name="40% - Accent6 2 3 2" xfId="2024"/>
    <cellStyle name="40% - Accent6 2 3 2 2" xfId="2025"/>
    <cellStyle name="40% - Accent6 2 3 2 2 2" xfId="2026"/>
    <cellStyle name="40% - Accent6 2 3 2 2 2 2" xfId="3590"/>
    <cellStyle name="40% - Accent6 2 3 2 2 3" xfId="2027"/>
    <cellStyle name="40% - Accent6 2 3 2 2 4" xfId="3591"/>
    <cellStyle name="40% - Accent6 2 3 2 3" xfId="2028"/>
    <cellStyle name="40% - Accent6 2 3 2 3 2" xfId="2029"/>
    <cellStyle name="40% - Accent6 2 3 2 3 3" xfId="3592"/>
    <cellStyle name="40% - Accent6 2 3 2 4" xfId="2030"/>
    <cellStyle name="40% - Accent6 2 3 2 5" xfId="3593"/>
    <cellStyle name="40% - Accent6 2 3 3" xfId="2031"/>
    <cellStyle name="40% - Accent6 2 3 3 2" xfId="2032"/>
    <cellStyle name="40% - Accent6 2 3 3 2 2" xfId="2033"/>
    <cellStyle name="40% - Accent6 2 3 3 2 3" xfId="3594"/>
    <cellStyle name="40% - Accent6 2 3 3 3" xfId="2034"/>
    <cellStyle name="40% - Accent6 2 3 3 4" xfId="3595"/>
    <cellStyle name="40% - Accent6 2 3 4" xfId="2035"/>
    <cellStyle name="40% - Accent6 2 3 4 2" xfId="2036"/>
    <cellStyle name="40% - Accent6 2 3 4 3" xfId="3596"/>
    <cellStyle name="40% - Accent6 2 3 5" xfId="2037"/>
    <cellStyle name="40% - Accent6 2 3 6" xfId="3597"/>
    <cellStyle name="40% - Accent6 2 4" xfId="2038"/>
    <cellStyle name="40% - Accent6 2 4 2" xfId="2039"/>
    <cellStyle name="40% - Accent6 2 4 2 2" xfId="2040"/>
    <cellStyle name="40% - Accent6 2 4 2 2 2" xfId="3598"/>
    <cellStyle name="40% - Accent6 2 4 2 3" xfId="2041"/>
    <cellStyle name="40% - Accent6 2 4 2 4" xfId="3599"/>
    <cellStyle name="40% - Accent6 2 4 3" xfId="2042"/>
    <cellStyle name="40% - Accent6 2 4 3 2" xfId="2043"/>
    <cellStyle name="40% - Accent6 2 4 3 3" xfId="3600"/>
    <cellStyle name="40% - Accent6 2 4 4" xfId="2044"/>
    <cellStyle name="40% - Accent6 2 4 5" xfId="3601"/>
    <cellStyle name="40% - Accent6 2 5" xfId="2045"/>
    <cellStyle name="40% - Accent6 2 5 2" xfId="2046"/>
    <cellStyle name="40% - Accent6 2 5 2 2" xfId="2047"/>
    <cellStyle name="40% - Accent6 2 5 2 3" xfId="3602"/>
    <cellStyle name="40% - Accent6 2 5 3" xfId="2048"/>
    <cellStyle name="40% - Accent6 2 5 4" xfId="3603"/>
    <cellStyle name="40% - Accent6 2 6" xfId="2049"/>
    <cellStyle name="40% - Accent6 2 6 2" xfId="2050"/>
    <cellStyle name="40% - Accent6 2 6 3" xfId="3604"/>
    <cellStyle name="40% - Accent6 2 7" xfId="2051"/>
    <cellStyle name="40% - Accent6 2 8" xfId="3605"/>
    <cellStyle name="40% - Accent6 3" xfId="560"/>
    <cellStyle name="40% - Accent6 3 2" xfId="561"/>
    <cellStyle name="40% - Accent6 3 2 2" xfId="2052"/>
    <cellStyle name="40% - Accent6 3 2 2 2" xfId="2053"/>
    <cellStyle name="40% - Accent6 3 2 2 2 2" xfId="2054"/>
    <cellStyle name="40% - Accent6 3 2 2 2 2 2" xfId="3606"/>
    <cellStyle name="40% - Accent6 3 2 2 2 3" xfId="2055"/>
    <cellStyle name="40% - Accent6 3 2 2 2 4" xfId="3607"/>
    <cellStyle name="40% - Accent6 3 2 2 3" xfId="2056"/>
    <cellStyle name="40% - Accent6 3 2 2 3 2" xfId="2057"/>
    <cellStyle name="40% - Accent6 3 2 2 3 3" xfId="3608"/>
    <cellStyle name="40% - Accent6 3 2 2 4" xfId="2058"/>
    <cellStyle name="40% - Accent6 3 2 2 5" xfId="3609"/>
    <cellStyle name="40% - Accent6 3 2 3" xfId="2059"/>
    <cellStyle name="40% - Accent6 3 2 3 2" xfId="2060"/>
    <cellStyle name="40% - Accent6 3 2 3 2 2" xfId="2061"/>
    <cellStyle name="40% - Accent6 3 2 3 2 3" xfId="3610"/>
    <cellStyle name="40% - Accent6 3 2 3 3" xfId="2062"/>
    <cellStyle name="40% - Accent6 3 2 3 4" xfId="3611"/>
    <cellStyle name="40% - Accent6 3 2 4" xfId="2063"/>
    <cellStyle name="40% - Accent6 3 2 4 2" xfId="2064"/>
    <cellStyle name="40% - Accent6 3 2 4 3" xfId="3612"/>
    <cellStyle name="40% - Accent6 3 2 5" xfId="2065"/>
    <cellStyle name="40% - Accent6 3 2 6" xfId="3613"/>
    <cellStyle name="40% - Accent6 3 3" xfId="562"/>
    <cellStyle name="40% - Accent6 3 3 2" xfId="2066"/>
    <cellStyle name="40% - Accent6 3 3 2 2" xfId="2067"/>
    <cellStyle name="40% - Accent6 3 3 2 2 2" xfId="3614"/>
    <cellStyle name="40% - Accent6 3 3 2 3" xfId="2068"/>
    <cellStyle name="40% - Accent6 3 3 2 4" xfId="3615"/>
    <cellStyle name="40% - Accent6 3 3 3" xfId="2069"/>
    <cellStyle name="40% - Accent6 3 3 3 2" xfId="2070"/>
    <cellStyle name="40% - Accent6 3 3 3 3" xfId="3616"/>
    <cellStyle name="40% - Accent6 3 3 4" xfId="2071"/>
    <cellStyle name="40% - Accent6 3 3 5" xfId="3617"/>
    <cellStyle name="40% - Accent6 3 4" xfId="2072"/>
    <cellStyle name="40% - Accent6 3 4 2" xfId="2073"/>
    <cellStyle name="40% - Accent6 3 4 2 2" xfId="2074"/>
    <cellStyle name="40% - Accent6 3 4 2 3" xfId="3618"/>
    <cellStyle name="40% - Accent6 3 4 3" xfId="2075"/>
    <cellStyle name="40% - Accent6 3 4 4" xfId="3619"/>
    <cellStyle name="40% - Accent6 3 5" xfId="2076"/>
    <cellStyle name="40% - Accent6 3 5 2" xfId="2077"/>
    <cellStyle name="40% - Accent6 3 5 3" xfId="3620"/>
    <cellStyle name="40% - Accent6 3 6" xfId="2078"/>
    <cellStyle name="40% - Accent6 3 7" xfId="3621"/>
    <cellStyle name="40% - Accent6 4" xfId="563"/>
    <cellStyle name="40% - Accent6 4 2" xfId="2079"/>
    <cellStyle name="40% - Accent6 4 2 2" xfId="2080"/>
    <cellStyle name="40% - Accent6 4 2 2 2" xfId="2081"/>
    <cellStyle name="40% - Accent6 4 2 2 2 2" xfId="3622"/>
    <cellStyle name="40% - Accent6 4 2 2 3" xfId="2082"/>
    <cellStyle name="40% - Accent6 4 2 2 4" xfId="3623"/>
    <cellStyle name="40% - Accent6 4 2 3" xfId="2083"/>
    <cellStyle name="40% - Accent6 4 2 3 2" xfId="2084"/>
    <cellStyle name="40% - Accent6 4 2 3 3" xfId="3624"/>
    <cellStyle name="40% - Accent6 4 2 4" xfId="2085"/>
    <cellStyle name="40% - Accent6 4 2 5" xfId="3625"/>
    <cellStyle name="40% - Accent6 4 3" xfId="2086"/>
    <cellStyle name="40% - Accent6 4 3 2" xfId="2087"/>
    <cellStyle name="40% - Accent6 4 3 2 2" xfId="2088"/>
    <cellStyle name="40% - Accent6 4 3 2 3" xfId="3626"/>
    <cellStyle name="40% - Accent6 4 3 3" xfId="2089"/>
    <cellStyle name="40% - Accent6 4 3 4" xfId="3627"/>
    <cellStyle name="40% - Accent6 4 4" xfId="2090"/>
    <cellStyle name="40% - Accent6 4 4 2" xfId="2091"/>
    <cellStyle name="40% - Accent6 4 4 3" xfId="3628"/>
    <cellStyle name="40% - Accent6 4 5" xfId="2092"/>
    <cellStyle name="40% - Accent6 4 6" xfId="3629"/>
    <cellStyle name="40% - Accent6 5" xfId="2093"/>
    <cellStyle name="40% - Accent6 5 2" xfId="2094"/>
    <cellStyle name="40% - Accent6 5 2 2" xfId="2095"/>
    <cellStyle name="40% - Accent6 5 2 2 2" xfId="2096"/>
    <cellStyle name="40% - Accent6 5 2 2 3" xfId="3630"/>
    <cellStyle name="40% - Accent6 5 2 3" xfId="2097"/>
    <cellStyle name="40% - Accent6 5 2 4" xfId="3631"/>
    <cellStyle name="40% - Accent6 5 3" xfId="2098"/>
    <cellStyle name="40% - Accent6 5 3 2" xfId="2099"/>
    <cellStyle name="40% - Accent6 5 3 3" xfId="3632"/>
    <cellStyle name="40% - Accent6 5 4" xfId="2100"/>
    <cellStyle name="40% - Accent6 5 5" xfId="3633"/>
    <cellStyle name="40% - Accent6 6" xfId="2101"/>
    <cellStyle name="40% - Accent6 6 2" xfId="2102"/>
    <cellStyle name="40% - Accent6 6 2 2" xfId="2103"/>
    <cellStyle name="40% - Accent6 6 2 3" xfId="3634"/>
    <cellStyle name="40% - Accent6 6 3" xfId="2104"/>
    <cellStyle name="40% - Accent6 6 4" xfId="2105"/>
    <cellStyle name="40% - Accent6 6 5" xfId="3635"/>
    <cellStyle name="40% - Accent6 7" xfId="2106"/>
    <cellStyle name="40% - Accent6 7 2" xfId="2107"/>
    <cellStyle name="40% - Accent6 7 3" xfId="3636"/>
    <cellStyle name="40% - Accent6 8" xfId="2108"/>
    <cellStyle name="40% - Accent6 9" xfId="3637"/>
    <cellStyle name="60% - Accent1 2" xfId="564"/>
    <cellStyle name="60% - Accent1 2 2" xfId="565"/>
    <cellStyle name="60% - Accent1 2 3" xfId="566"/>
    <cellStyle name="60% - Accent1 3" xfId="567"/>
    <cellStyle name="60% - Accent1 3 2" xfId="568"/>
    <cellStyle name="60% - Accent1 3 3" xfId="569"/>
    <cellStyle name="60% - Accent1 4" xfId="570"/>
    <cellStyle name="60% - Accent2 2" xfId="571"/>
    <cellStyle name="60% - Accent2 2 2" xfId="572"/>
    <cellStyle name="60% - Accent2 2 3" xfId="573"/>
    <cellStyle name="60% - Accent2 3" xfId="574"/>
    <cellStyle name="60% - Accent2 3 2" xfId="575"/>
    <cellStyle name="60% - Accent2 3 3" xfId="576"/>
    <cellStyle name="60% - Accent2 4" xfId="577"/>
    <cellStyle name="60% - Accent2 5" xfId="2109"/>
    <cellStyle name="60% - Accent2 6" xfId="3638"/>
    <cellStyle name="60% - Accent3 2" xfId="578"/>
    <cellStyle name="60% - Accent3 2 2" xfId="579"/>
    <cellStyle name="60% - Accent3 2 3" xfId="580"/>
    <cellStyle name="60% - Accent3 3" xfId="581"/>
    <cellStyle name="60% - Accent3 3 2" xfId="582"/>
    <cellStyle name="60% - Accent3 3 3" xfId="583"/>
    <cellStyle name="60% - Accent3 4" xfId="584"/>
    <cellStyle name="60% - Accent3 5" xfId="2110"/>
    <cellStyle name="60% - Accent3 6" xfId="3639"/>
    <cellStyle name="60% - Accent4 2" xfId="585"/>
    <cellStyle name="60% - Accent4 2 2" xfId="586"/>
    <cellStyle name="60% - Accent4 2 3" xfId="587"/>
    <cellStyle name="60% - Accent4 3" xfId="588"/>
    <cellStyle name="60% - Accent4 3 2" xfId="589"/>
    <cellStyle name="60% - Accent4 3 3" xfId="590"/>
    <cellStyle name="60% - Accent4 4" xfId="591"/>
    <cellStyle name="60% - Accent4 5" xfId="2111"/>
    <cellStyle name="60% - Accent4 6" xfId="3640"/>
    <cellStyle name="60% - Accent5 2" xfId="592"/>
    <cellStyle name="60% - Accent5 2 2" xfId="593"/>
    <cellStyle name="60% - Accent5 2 3" xfId="594"/>
    <cellStyle name="60% - Accent5 3" xfId="595"/>
    <cellStyle name="60% - Accent5 3 2" xfId="596"/>
    <cellStyle name="60% - Accent5 3 3" xfId="597"/>
    <cellStyle name="60% - Accent5 4" xfId="598"/>
    <cellStyle name="60% - Accent5 5" xfId="2112"/>
    <cellStyle name="60% - Accent5 6" xfId="3641"/>
    <cellStyle name="60% - Accent6 2" xfId="599"/>
    <cellStyle name="60% - Accent6 2 2" xfId="600"/>
    <cellStyle name="60% - Accent6 2 3" xfId="601"/>
    <cellStyle name="60% - Accent6 3" xfId="602"/>
    <cellStyle name="60% - Accent6 3 2" xfId="603"/>
    <cellStyle name="60% - Accent6 3 3" xfId="604"/>
    <cellStyle name="60% - Accent6 4" xfId="605"/>
    <cellStyle name="60% - Accent6 5" xfId="2113"/>
    <cellStyle name="60% - Accent6 6" xfId="3642"/>
    <cellStyle name="a" xfId="239"/>
    <cellStyle name="Accent1 2" xfId="606"/>
    <cellStyle name="Accent1 2 2" xfId="607"/>
    <cellStyle name="Accent1 2 3" xfId="608"/>
    <cellStyle name="Accent1 3" xfId="609"/>
    <cellStyle name="Accent1 3 2" xfId="610"/>
    <cellStyle name="Accent1 3 3" xfId="611"/>
    <cellStyle name="Accent1 4" xfId="612"/>
    <cellStyle name="Accent1 5" xfId="2114"/>
    <cellStyle name="Accent1 6" xfId="3643"/>
    <cellStyle name="Accent2 2" xfId="613"/>
    <cellStyle name="Accent2 2 2" xfId="614"/>
    <cellStyle name="Accent2 2 3" xfId="615"/>
    <cellStyle name="Accent2 3" xfId="616"/>
    <cellStyle name="Accent2 3 2" xfId="617"/>
    <cellStyle name="Accent2 3 3" xfId="618"/>
    <cellStyle name="Accent2 4" xfId="619"/>
    <cellStyle name="Accent2 5" xfId="2115"/>
    <cellStyle name="Accent2 6" xfId="3644"/>
    <cellStyle name="Accent3 2" xfId="620"/>
    <cellStyle name="Accent3 2 2" xfId="621"/>
    <cellStyle name="Accent3 2 3" xfId="622"/>
    <cellStyle name="Accent3 3" xfId="623"/>
    <cellStyle name="Accent3 3 2" xfId="624"/>
    <cellStyle name="Accent3 3 3" xfId="625"/>
    <cellStyle name="Accent3 4" xfId="626"/>
    <cellStyle name="Accent3 5" xfId="2116"/>
    <cellStyle name="Accent3 6" xfId="3645"/>
    <cellStyle name="Accent4 2" xfId="627"/>
    <cellStyle name="Accent4 2 2" xfId="628"/>
    <cellStyle name="Accent4 2 3" xfId="629"/>
    <cellStyle name="Accent4 3" xfId="630"/>
    <cellStyle name="Accent4 3 2" xfId="631"/>
    <cellStyle name="Accent4 3 3" xfId="632"/>
    <cellStyle name="Accent4 4" xfId="633"/>
    <cellStyle name="Accent4 5" xfId="2117"/>
    <cellStyle name="Accent4 6" xfId="3646"/>
    <cellStyle name="Accent5 2" xfId="634"/>
    <cellStyle name="Accent5 2 2" xfId="635"/>
    <cellStyle name="Accent5 2 3" xfId="636"/>
    <cellStyle name="Accent5 3" xfId="637"/>
    <cellStyle name="Accent5 3 2" xfId="638"/>
    <cellStyle name="Accent5 3 3" xfId="639"/>
    <cellStyle name="Accent5 4" xfId="640"/>
    <cellStyle name="Accent5 5" xfId="2118"/>
    <cellStyle name="Accent5 6" xfId="3647"/>
    <cellStyle name="Accent6 2" xfId="641"/>
    <cellStyle name="Accent6 2 2" xfId="642"/>
    <cellStyle name="Accent6 2 3" xfId="643"/>
    <cellStyle name="Accent6 3" xfId="644"/>
    <cellStyle name="Accent6 3 2" xfId="645"/>
    <cellStyle name="Accent6 3 3" xfId="646"/>
    <cellStyle name="Accent6 4" xfId="647"/>
    <cellStyle name="Accent6 5" xfId="2119"/>
    <cellStyle name="Accent6 6" xfId="3648"/>
    <cellStyle name="auto" xfId="2120"/>
    <cellStyle name="Background" xfId="240"/>
    <cellStyle name="Bad 2" xfId="648"/>
    <cellStyle name="Bad 2 2" xfId="649"/>
    <cellStyle name="Bad 2 3" xfId="650"/>
    <cellStyle name="Bad 3" xfId="651"/>
    <cellStyle name="Bad 3 2" xfId="652"/>
    <cellStyle name="Bad 3 3" xfId="653"/>
    <cellStyle name="Bad 4" xfId="654"/>
    <cellStyle name="Bad 5" xfId="2121"/>
    <cellStyle name="Bad 6" xfId="3649"/>
    <cellStyle name="Banner" xfId="2122"/>
    <cellStyle name="Bbg" xfId="2123"/>
    <cellStyle name="Berekening" xfId="2124"/>
    <cellStyle name="Berekening 2" xfId="2125"/>
    <cellStyle name="blue axis cells" xfId="241"/>
    <cellStyle name="Blue Stripe" xfId="242"/>
    <cellStyle name="blue text cells" xfId="243"/>
    <cellStyle name="BlueStripe" xfId="244"/>
    <cellStyle name="Body" xfId="245"/>
    <cellStyle name="Border" xfId="246"/>
    <cellStyle name="Border 2" xfId="421"/>
    <cellStyle name="Border 2 2" xfId="2126"/>
    <cellStyle name="Border 3" xfId="422"/>
    <cellStyle name="Box Outline" xfId="247"/>
    <cellStyle name="BPs" xfId="2127"/>
    <cellStyle name="Bps 2" xfId="2128"/>
    <cellStyle name="Calc Currency (0)" xfId="248"/>
    <cellStyle name="Calc Currency (0) 2" xfId="423"/>
    <cellStyle name="Calc Currency (0) 3" xfId="424"/>
    <cellStyle name="Calculation 2" xfId="655"/>
    <cellStyle name="Calculation 2 2" xfId="656"/>
    <cellStyle name="Calculation 2 3" xfId="657"/>
    <cellStyle name="Calculation 3" xfId="658"/>
    <cellStyle name="Calculation 3 2" xfId="659"/>
    <cellStyle name="Calculation 3 3" xfId="660"/>
    <cellStyle name="Calculation 4" xfId="661"/>
    <cellStyle name="Calculation 5" xfId="2129"/>
    <cellStyle name="Calculation 6" xfId="3650"/>
    <cellStyle name="Cambiar to&amp;do" xfId="2130"/>
    <cellStyle name="CHECK" xfId="2131"/>
    <cellStyle name="Check Cell 2" xfId="662"/>
    <cellStyle name="Check Cell 2 2" xfId="663"/>
    <cellStyle name="Check Cell 2 3" xfId="664"/>
    <cellStyle name="Check Cell 3" xfId="665"/>
    <cellStyle name="Check Cell 3 2" xfId="666"/>
    <cellStyle name="Check Cell 3 3" xfId="667"/>
    <cellStyle name="Check Cell 4" xfId="668"/>
    <cellStyle name="Check Cell 5" xfId="2132"/>
    <cellStyle name="Check Cell 6" xfId="3651"/>
    <cellStyle name="Comma  - Style1" xfId="2133"/>
    <cellStyle name="Comma  - Style2" xfId="2134"/>
    <cellStyle name="Comma  - Style3" xfId="2135"/>
    <cellStyle name="Comma  - Style4" xfId="2136"/>
    <cellStyle name="Comma  - Style5" xfId="2137"/>
    <cellStyle name="Comma  - Style6" xfId="2138"/>
    <cellStyle name="Comma  - Style7" xfId="2139"/>
    <cellStyle name="Comma  - Style8" xfId="2140"/>
    <cellStyle name="Comma 0" xfId="249"/>
    <cellStyle name="Comma 10" xfId="2141"/>
    <cellStyle name="Comma 10 2" xfId="2142"/>
    <cellStyle name="Comma 11" xfId="2143"/>
    <cellStyle name="Comma 12" xfId="2144"/>
    <cellStyle name="Comma 13" xfId="2145"/>
    <cellStyle name="Comma 14" xfId="2146"/>
    <cellStyle name="Comma 15" xfId="2147"/>
    <cellStyle name="Comma 16" xfId="2148"/>
    <cellStyle name="Comma 17" xfId="2149"/>
    <cellStyle name="Comma 18" xfId="2150"/>
    <cellStyle name="Comma 19" xfId="2151"/>
    <cellStyle name="Comma 2" xfId="40"/>
    <cellStyle name="Comma 2 2" xfId="2152"/>
    <cellStyle name="Comma 2 2 2" xfId="2153"/>
    <cellStyle name="Comma 2 3" xfId="2154"/>
    <cellStyle name="Comma 2 3 2" xfId="2155"/>
    <cellStyle name="Comma 2 4" xfId="2156"/>
    <cellStyle name="Comma 2 5" xfId="2157"/>
    <cellStyle name="Comma 2 6" xfId="2158"/>
    <cellStyle name="Comma 2 7" xfId="2159"/>
    <cellStyle name="Comma 2_3Y" xfId="2160"/>
    <cellStyle name="Comma 20" xfId="2161"/>
    <cellStyle name="Comma 21" xfId="2162"/>
    <cellStyle name="Comma 22" xfId="2163"/>
    <cellStyle name="Comma 23" xfId="2164"/>
    <cellStyle name="Comma 24" xfId="2165"/>
    <cellStyle name="Comma 25" xfId="2166"/>
    <cellStyle name="Comma 26" xfId="2167"/>
    <cellStyle name="Comma 27" xfId="2168"/>
    <cellStyle name="Comma 28" xfId="2169"/>
    <cellStyle name="Comma 29" xfId="2170"/>
    <cellStyle name="Comma 3" xfId="41"/>
    <cellStyle name="Comma 3 2" xfId="393"/>
    <cellStyle name="Comma 30" xfId="2171"/>
    <cellStyle name="Comma 31" xfId="2172"/>
    <cellStyle name="Comma 32" xfId="2173"/>
    <cellStyle name="Comma 33" xfId="2174"/>
    <cellStyle name="Comma 34" xfId="2175"/>
    <cellStyle name="Comma 35" xfId="2176"/>
    <cellStyle name="Comma 36" xfId="2177"/>
    <cellStyle name="Comma 37" xfId="2178"/>
    <cellStyle name="Comma 38" xfId="2179"/>
    <cellStyle name="Comma 39" xfId="2180"/>
    <cellStyle name="Comma 4" xfId="49"/>
    <cellStyle name="Comma 4 2" xfId="2181"/>
    <cellStyle name="Comma 4 3" xfId="2182"/>
    <cellStyle name="Comma 40" xfId="2183"/>
    <cellStyle name="Comma 41" xfId="2184"/>
    <cellStyle name="Comma 42" xfId="2185"/>
    <cellStyle name="Comma 43" xfId="2186"/>
    <cellStyle name="Comma 44" xfId="2187"/>
    <cellStyle name="Comma 45" xfId="2188"/>
    <cellStyle name="Comma 46" xfId="2189"/>
    <cellStyle name="Comma 47" xfId="2190"/>
    <cellStyle name="Comma 48" xfId="2191"/>
    <cellStyle name="Comma 49" xfId="2192"/>
    <cellStyle name="Comma 5" xfId="50"/>
    <cellStyle name="Comma 5 2" xfId="2193"/>
    <cellStyle name="Comma 50" xfId="2194"/>
    <cellStyle name="Comma 51" xfId="2195"/>
    <cellStyle name="Comma 52" xfId="2196"/>
    <cellStyle name="Comma 53" xfId="2197"/>
    <cellStyle name="Comma 54" xfId="2198"/>
    <cellStyle name="Comma 55" xfId="2199"/>
    <cellStyle name="Comma 56" xfId="2200"/>
    <cellStyle name="Comma 57" xfId="2201"/>
    <cellStyle name="Comma 58" xfId="2202"/>
    <cellStyle name="Comma 59" xfId="2203"/>
    <cellStyle name="Comma 6" xfId="391"/>
    <cellStyle name="Comma 6 2" xfId="2204"/>
    <cellStyle name="Comma 60" xfId="2205"/>
    <cellStyle name="Comma 61" xfId="2206"/>
    <cellStyle name="Comma 62" xfId="771"/>
    <cellStyle name="Comma 63" xfId="2207"/>
    <cellStyle name="Comma 68" xfId="3667"/>
    <cellStyle name="Comma 7" xfId="2208"/>
    <cellStyle name="Comma 7 2" xfId="2209"/>
    <cellStyle name="Comma 8" xfId="2210"/>
    <cellStyle name="Comma 8 2" xfId="2211"/>
    <cellStyle name="Comma 9" xfId="2212"/>
    <cellStyle name="Comma Input" xfId="2213"/>
    <cellStyle name="Comma Missing" xfId="2214"/>
    <cellStyle name="COMMA, 0" xfId="2215"/>
    <cellStyle name="COMMA, 0 2" xfId="2216"/>
    <cellStyle name="COMMA, 0 2 2" xfId="2217"/>
    <cellStyle name="COMMA, 0 2 3" xfId="2218"/>
    <cellStyle name="COMMA, 0 2 4" xfId="2219"/>
    <cellStyle name="COMMA, 0 2 5" xfId="2220"/>
    <cellStyle name="COMMA, 0 3" xfId="2221"/>
    <cellStyle name="COMMA, 0 3 2" xfId="2222"/>
    <cellStyle name="COMMA, 0 3 3" xfId="2223"/>
    <cellStyle name="COMMA, 0 3 4" xfId="2224"/>
    <cellStyle name="COMMA, 0 3 5" xfId="2225"/>
    <cellStyle name="Comma_EURO" xfId="3679"/>
    <cellStyle name="Comma_USD" xfId="3678"/>
    <cellStyle name="Comma0" xfId="250"/>
    <cellStyle name="Comma0 - Modelo1" xfId="251"/>
    <cellStyle name="Comma0 - Modelo1 2" xfId="2226"/>
    <cellStyle name="Comma0 - Style1" xfId="252"/>
    <cellStyle name="Comma0_CVA Jul 10" xfId="253"/>
    <cellStyle name="Comma1 - Modelo2" xfId="254"/>
    <cellStyle name="Comma1 - Modelo2 2" xfId="2227"/>
    <cellStyle name="Comma1 - Style2" xfId="255"/>
    <cellStyle name="Controlecel" xfId="2228"/>
    <cellStyle name="Copied" xfId="256"/>
    <cellStyle name="Copied 2" xfId="425"/>
    <cellStyle name="CorpBond" xfId="257"/>
    <cellStyle name="Currency 0" xfId="258"/>
    <cellStyle name="Currency 2" xfId="259"/>
    <cellStyle name="Currency Input" xfId="2229"/>
    <cellStyle name="Currency0" xfId="260"/>
    <cellStyle name="d" xfId="261"/>
    <cellStyle name="d 2" xfId="426"/>
    <cellStyle name="d 3" xfId="427"/>
    <cellStyle name="DataFeed" xfId="262"/>
    <cellStyle name="Date" xfId="263"/>
    <cellStyle name="Date 2" xfId="2230"/>
    <cellStyle name="date 3" xfId="2231"/>
    <cellStyle name="date 4" xfId="2232"/>
    <cellStyle name="date 5" xfId="2233"/>
    <cellStyle name="date 6" xfId="2234"/>
    <cellStyle name="date 7" xfId="2235"/>
    <cellStyle name="Date Aligned" xfId="264"/>
    <cellStyle name="date title" xfId="265"/>
    <cellStyle name="Date_01-2012" xfId="2236"/>
    <cellStyle name="dateinput" xfId="2237"/>
    <cellStyle name="dateNormal" xfId="2238"/>
    <cellStyle name="Dates" xfId="2239"/>
    <cellStyle name="Days" xfId="2240"/>
    <cellStyle name="DEnormalgray" xfId="2241"/>
    <cellStyle name="Dia" xfId="266"/>
    <cellStyle name="Dia 2" xfId="428"/>
    <cellStyle name="Dia 3" xfId="2242"/>
    <cellStyle name="diff" xfId="2243"/>
    <cellStyle name="Dotted Line" xfId="267"/>
    <cellStyle name="dpformula" xfId="2244"/>
    <cellStyle name="Encabez1" xfId="268"/>
    <cellStyle name="Encabez1 2" xfId="429"/>
    <cellStyle name="Encabez1 3" xfId="2245"/>
    <cellStyle name="Encabez2" xfId="269"/>
    <cellStyle name="Encabez2 2" xfId="430"/>
    <cellStyle name="Encabez2 3" xfId="2246"/>
    <cellStyle name="Entered" xfId="270"/>
    <cellStyle name="Entered 2" xfId="431"/>
    <cellStyle name="Euro" xfId="42"/>
    <cellStyle name="Euro 2" xfId="432"/>
    <cellStyle name="Euro 3" xfId="433"/>
    <cellStyle name="Euro 4" xfId="2247"/>
    <cellStyle name="Explanatory Text 2" xfId="669"/>
    <cellStyle name="Explanatory Text 2 2" xfId="670"/>
    <cellStyle name="Explanatory Text 2 3" xfId="671"/>
    <cellStyle name="Explanatory Text 3" xfId="672"/>
    <cellStyle name="Explanatory Text 3 2" xfId="673"/>
    <cellStyle name="Explanatory Text 3 3" xfId="674"/>
    <cellStyle name="Explanatory Text 4" xfId="675"/>
    <cellStyle name="Explanatory Text 5" xfId="2248"/>
    <cellStyle name="Explanatory Text 6" xfId="3652"/>
    <cellStyle name="EY House" xfId="271"/>
    <cellStyle name="F2" xfId="272"/>
    <cellStyle name="F3" xfId="273"/>
    <cellStyle name="F4" xfId="274"/>
    <cellStyle name="F5" xfId="275"/>
    <cellStyle name="F6" xfId="276"/>
    <cellStyle name="F7" xfId="277"/>
    <cellStyle name="F8" xfId="278"/>
    <cellStyle name="Fijo" xfId="279"/>
    <cellStyle name="Fijo 2" xfId="434"/>
    <cellStyle name="Fijo 3" xfId="2249"/>
    <cellStyle name="filled" xfId="2250"/>
    <cellStyle name="filled 2" xfId="2251"/>
    <cellStyle name="Financiero" xfId="280"/>
    <cellStyle name="Financiero 2" xfId="435"/>
    <cellStyle name="Financiero 3" xfId="2252"/>
    <cellStyle name="Fixed" xfId="281"/>
    <cellStyle name="Footnote" xfId="282"/>
    <cellStyle name="Gekoppelde cel" xfId="2253"/>
    <cellStyle name="Goed" xfId="2254"/>
    <cellStyle name="Good 2" xfId="676"/>
    <cellStyle name="Good 2 2" xfId="677"/>
    <cellStyle name="Good 2 3" xfId="678"/>
    <cellStyle name="Good 3" xfId="679"/>
    <cellStyle name="Good 3 2" xfId="680"/>
    <cellStyle name="Good 3 3" xfId="681"/>
    <cellStyle name="Good 4" xfId="682"/>
    <cellStyle name="Good 5" xfId="2255"/>
    <cellStyle name="Good 6" xfId="3653"/>
    <cellStyle name="gray text cells" xfId="283"/>
    <cellStyle name="Grey" xfId="284"/>
    <cellStyle name="Hard Percent" xfId="285"/>
    <cellStyle name="Header" xfId="286"/>
    <cellStyle name="Header 2" xfId="2256"/>
    <cellStyle name="Header 3" xfId="2257"/>
    <cellStyle name="Header1" xfId="287"/>
    <cellStyle name="Header2" xfId="288"/>
    <cellStyle name="HeaderAR" xfId="2258"/>
    <cellStyle name="HeaderCA" xfId="2259"/>
    <cellStyle name="HeaderRA" xfId="2260"/>
    <cellStyle name="Heading" xfId="289"/>
    <cellStyle name="Heading 1 2" xfId="683"/>
    <cellStyle name="Heading 1 2 2" xfId="684"/>
    <cellStyle name="Heading 1 2 3" xfId="685"/>
    <cellStyle name="Heading 1 3" xfId="686"/>
    <cellStyle name="Heading 1 3 2" xfId="687"/>
    <cellStyle name="Heading 1 3 3" xfId="688"/>
    <cellStyle name="Heading 1 4" xfId="689"/>
    <cellStyle name="Heading 1 5" xfId="2261"/>
    <cellStyle name="Heading 1 6" xfId="3654"/>
    <cellStyle name="heading 10" xfId="2262"/>
    <cellStyle name="heading 11" xfId="2263"/>
    <cellStyle name="heading 12" xfId="2264"/>
    <cellStyle name="Heading 2 2" xfId="690"/>
    <cellStyle name="Heading 2 2 2" xfId="691"/>
    <cellStyle name="Heading 2 2 3" xfId="692"/>
    <cellStyle name="Heading 2 3" xfId="693"/>
    <cellStyle name="Heading 2 3 2" xfId="694"/>
    <cellStyle name="Heading 2 3 3" xfId="695"/>
    <cellStyle name="Heading 2 4" xfId="696"/>
    <cellStyle name="Heading 2 5" xfId="2265"/>
    <cellStyle name="Heading 2 6" xfId="3655"/>
    <cellStyle name="Heading 3 2" xfId="697"/>
    <cellStyle name="Heading 3 2 2" xfId="698"/>
    <cellStyle name="Heading 3 2 3" xfId="699"/>
    <cellStyle name="Heading 3 3" xfId="700"/>
    <cellStyle name="Heading 3 3 2" xfId="701"/>
    <cellStyle name="Heading 3 3 3" xfId="702"/>
    <cellStyle name="Heading 3 4" xfId="703"/>
    <cellStyle name="Heading 3 5" xfId="2266"/>
    <cellStyle name="Heading 3 6" xfId="3656"/>
    <cellStyle name="Heading 4 2" xfId="704"/>
    <cellStyle name="Heading 4 2 2" xfId="705"/>
    <cellStyle name="Heading 4 2 3" xfId="706"/>
    <cellStyle name="Heading 4 3" xfId="707"/>
    <cellStyle name="Heading 4 3 2" xfId="708"/>
    <cellStyle name="Heading 4 3 3" xfId="709"/>
    <cellStyle name="Heading 4 4" xfId="710"/>
    <cellStyle name="Heading 4 5" xfId="2267"/>
    <cellStyle name="Heading 4 6" xfId="3657"/>
    <cellStyle name="Heading 5" xfId="2268"/>
    <cellStyle name="Heading 5 2" xfId="2269"/>
    <cellStyle name="Heading 5 2 2" xfId="2270"/>
    <cellStyle name="Heading 5 2 3" xfId="2271"/>
    <cellStyle name="Heading 5 2 4" xfId="2272"/>
    <cellStyle name="Heading 5 3" xfId="2273"/>
    <cellStyle name="Heading 5 3 2" xfId="2274"/>
    <cellStyle name="Heading 5 3 3" xfId="2275"/>
    <cellStyle name="Heading 5 3 4" xfId="2276"/>
    <cellStyle name="Heading 5 3 5" xfId="2277"/>
    <cellStyle name="Heading 6" xfId="2278"/>
    <cellStyle name="Heading 6 2" xfId="2279"/>
    <cellStyle name="Heading 6 2 2" xfId="2280"/>
    <cellStyle name="Heading 6 2 3" xfId="2281"/>
    <cellStyle name="Heading 6 2 4" xfId="2282"/>
    <cellStyle name="Heading 6 3" xfId="2283"/>
    <cellStyle name="Heading 6 3 2" xfId="2284"/>
    <cellStyle name="Heading 6 3 3" xfId="2285"/>
    <cellStyle name="Heading 6 3 4" xfId="2286"/>
    <cellStyle name="Heading 6 3 5" xfId="2287"/>
    <cellStyle name="Heading 7" xfId="2288"/>
    <cellStyle name="Heading 7 2" xfId="2289"/>
    <cellStyle name="heading 8" xfId="2290"/>
    <cellStyle name="heading 9" xfId="2291"/>
    <cellStyle name="Heading column" xfId="2292"/>
    <cellStyle name="Heading column 2" xfId="2293"/>
    <cellStyle name="Heading column 2 2" xfId="2294"/>
    <cellStyle name="Heading column 2 2 2" xfId="2295"/>
    <cellStyle name="Heading column 2 2 3" xfId="2296"/>
    <cellStyle name="Heading column 2 2 4" xfId="2297"/>
    <cellStyle name="Heading column 2 3" xfId="2298"/>
    <cellStyle name="Heading column 2 3 2" xfId="2299"/>
    <cellStyle name="Heading column 2 3 3" xfId="2300"/>
    <cellStyle name="Heading column 2 3 4" xfId="2301"/>
    <cellStyle name="Heading column 2 3 5" xfId="2302"/>
    <cellStyle name="Heading column 3" xfId="2303"/>
    <cellStyle name="Heading column 3 2" xfId="2304"/>
    <cellStyle name="Heading column 3 3" xfId="2305"/>
    <cellStyle name="Heading column 3 4" xfId="2306"/>
    <cellStyle name="Heading column 4" xfId="2307"/>
    <cellStyle name="Heading column 4 2" xfId="2308"/>
    <cellStyle name="Heading column 4 3" xfId="2309"/>
    <cellStyle name="Heading column 4 4" xfId="2310"/>
    <cellStyle name="Heading column 4 5" xfId="2311"/>
    <cellStyle name="Hidden" xfId="290"/>
    <cellStyle name="Hyperlink 2" xfId="2312"/>
    <cellStyle name="Input [yellow]" xfId="291"/>
    <cellStyle name="Input [yellow] 2" xfId="2313"/>
    <cellStyle name="Input 10" xfId="2314"/>
    <cellStyle name="Input 10 2" xfId="2315"/>
    <cellStyle name="Input 11" xfId="2316"/>
    <cellStyle name="Input 11 2" xfId="2317"/>
    <cellStyle name="Input 12" xfId="2318"/>
    <cellStyle name="Input 12 2" xfId="2319"/>
    <cellStyle name="Input 13" xfId="2320"/>
    <cellStyle name="Input 13 2" xfId="2321"/>
    <cellStyle name="Input 14" xfId="2322"/>
    <cellStyle name="Input 15" xfId="2323"/>
    <cellStyle name="Input 16" xfId="2324"/>
    <cellStyle name="Input 17" xfId="2325"/>
    <cellStyle name="Input 18" xfId="2326"/>
    <cellStyle name="Input 19" xfId="2327"/>
    <cellStyle name="Input 2" xfId="711"/>
    <cellStyle name="Input 2 2" xfId="712"/>
    <cellStyle name="input 2 2 2" xfId="2328"/>
    <cellStyle name="Input 2 3" xfId="713"/>
    <cellStyle name="input 2 4" xfId="2329"/>
    <cellStyle name="input 2 5" xfId="2330"/>
    <cellStyle name="input 2 6" xfId="2331"/>
    <cellStyle name="input 2 7" xfId="2332"/>
    <cellStyle name="Input 20" xfId="2333"/>
    <cellStyle name="Input 21" xfId="2334"/>
    <cellStyle name="Input 22" xfId="2335"/>
    <cellStyle name="Input 23" xfId="2336"/>
    <cellStyle name="Input 24" xfId="2337"/>
    <cellStyle name="Input 25" xfId="2338"/>
    <cellStyle name="Input 26" xfId="2339"/>
    <cellStyle name="Input 27" xfId="2340"/>
    <cellStyle name="Input 28" xfId="2341"/>
    <cellStyle name="Input 29" xfId="2342"/>
    <cellStyle name="Input 3" xfId="714"/>
    <cellStyle name="Input 3 2" xfId="715"/>
    <cellStyle name="Input 3 3" xfId="716"/>
    <cellStyle name="Input 30" xfId="2343"/>
    <cellStyle name="Input 31" xfId="2344"/>
    <cellStyle name="Input 32" xfId="2345"/>
    <cellStyle name="Input 33" xfId="2346"/>
    <cellStyle name="Input 34" xfId="2347"/>
    <cellStyle name="Input 35" xfId="2348"/>
    <cellStyle name="Input 36" xfId="2349"/>
    <cellStyle name="Input 37" xfId="2350"/>
    <cellStyle name="Input 38" xfId="2351"/>
    <cellStyle name="Input 39" xfId="2352"/>
    <cellStyle name="Input 4" xfId="717"/>
    <cellStyle name="Input 4 2" xfId="2353"/>
    <cellStyle name="Input 4 3" xfId="2354"/>
    <cellStyle name="Input 40" xfId="2355"/>
    <cellStyle name="Input 41" xfId="2356"/>
    <cellStyle name="Input 42" xfId="2357"/>
    <cellStyle name="Input 43" xfId="2358"/>
    <cellStyle name="Input 44" xfId="2359"/>
    <cellStyle name="Input 45" xfId="3658"/>
    <cellStyle name="Input 46" xfId="3659"/>
    <cellStyle name="Input 5" xfId="2360"/>
    <cellStyle name="Input 5 2" xfId="2361"/>
    <cellStyle name="Input 5 3" xfId="2362"/>
    <cellStyle name="Input 6" xfId="2363"/>
    <cellStyle name="Input 6 2" xfId="2364"/>
    <cellStyle name="Input 7" xfId="2365"/>
    <cellStyle name="Input 7 2" xfId="2366"/>
    <cellStyle name="Input 8" xfId="2367"/>
    <cellStyle name="Input 8 2" xfId="2368"/>
    <cellStyle name="Input 9" xfId="2369"/>
    <cellStyle name="Input 9 2" xfId="2370"/>
    <cellStyle name="Input optional" xfId="2371"/>
    <cellStyle name="inputAR" xfId="2372"/>
    <cellStyle name="inputCA" xfId="2373"/>
    <cellStyle name="InputCell" xfId="292"/>
    <cellStyle name="InputDate" xfId="2374"/>
    <cellStyle name="inputLA" xfId="2375"/>
    <cellStyle name="inputPercent" xfId="2376"/>
    <cellStyle name="inputra" xfId="2377"/>
    <cellStyle name="int" xfId="2378"/>
    <cellStyle name="Invoer" xfId="2379"/>
    <cellStyle name="Invoer 2" xfId="2380"/>
    <cellStyle name="Kop 1" xfId="2381"/>
    <cellStyle name="Kop 2" xfId="2382"/>
    <cellStyle name="Kop 3" xfId="2383"/>
    <cellStyle name="Kop 4" xfId="2384"/>
    <cellStyle name="Lien hypertexte" xfId="293"/>
    <cellStyle name="Lien hypertexte visit?" xfId="294"/>
    <cellStyle name="Lien hypertexte visité" xfId="295"/>
    <cellStyle name="Lien hypertexte_Andy" xfId="296"/>
    <cellStyle name="Light Grey" xfId="297"/>
    <cellStyle name="Light Yellow" xfId="298"/>
    <cellStyle name="Linked Cell 2" xfId="718"/>
    <cellStyle name="Linked Cell 2 2" xfId="719"/>
    <cellStyle name="Linked Cell 2 3" xfId="720"/>
    <cellStyle name="Linked Cell 3" xfId="721"/>
    <cellStyle name="Linked Cell 3 2" xfId="722"/>
    <cellStyle name="Linked Cell 3 3" xfId="723"/>
    <cellStyle name="Linked Cell 4" xfId="724"/>
    <cellStyle name="Linked Cell 5" xfId="2385"/>
    <cellStyle name="Linked Cell 6" xfId="3660"/>
    <cellStyle name="Millares [0]_10 AVERIAS MASIVAS + ANT" xfId="299"/>
    <cellStyle name="Millares_10 AVERIAS MASIVAS + ANT" xfId="300"/>
    <cellStyle name="Milliers [0]_CD POST (2)" xfId="301"/>
    <cellStyle name="Milliers_CD POST (2)" xfId="302"/>
    <cellStyle name="Millions" xfId="2386"/>
    <cellStyle name="mm" xfId="2387"/>
    <cellStyle name="mmInput" xfId="2388"/>
    <cellStyle name="mmInput 2" xfId="2389"/>
    <cellStyle name="mmInput_Steve's Pricer v15" xfId="2390"/>
    <cellStyle name="mmNormal" xfId="2391"/>
    <cellStyle name="Moeda [0]_car" xfId="303"/>
    <cellStyle name="Moeda_car" xfId="304"/>
    <cellStyle name="Mon?taire [0]_ExoGBPbox" xfId="305"/>
    <cellStyle name="Mon?taire_ExoGBPbox" xfId="306"/>
    <cellStyle name="Moneda [0]_10 AVERIAS MASIVAS + ANT" xfId="307"/>
    <cellStyle name="Moneda_10 AVERIAS MASIVAS + ANT" xfId="308"/>
    <cellStyle name="Monétaire [0]_ExoGBPbox" xfId="309"/>
    <cellStyle name="Monétaire_ExoGBPbox" xfId="310"/>
    <cellStyle name="Monetario" xfId="311"/>
    <cellStyle name="Monetario 2" xfId="436"/>
    <cellStyle name="Monetario 3" xfId="2392"/>
    <cellStyle name="MS_COL_STYLE" xfId="312"/>
    <cellStyle name="Multiple" xfId="313"/>
    <cellStyle name="Multiple1" xfId="2393"/>
    <cellStyle name="Multiple2" xfId="2394"/>
    <cellStyle name="MultipleBelow" xfId="314"/>
    <cellStyle name="Name" xfId="2395"/>
    <cellStyle name="NavStyleDefault" xfId="315"/>
    <cellStyle name="NavStyleDefault 2" xfId="437"/>
    <cellStyle name="NavStyleDefault 3" xfId="438"/>
    <cellStyle name="Neutraal" xfId="2396"/>
    <cellStyle name="Neutral 2" xfId="725"/>
    <cellStyle name="Neutral 2 2" xfId="726"/>
    <cellStyle name="Neutral 2 3" xfId="727"/>
    <cellStyle name="Neutral 3" xfId="728"/>
    <cellStyle name="Neutral 3 2" xfId="729"/>
    <cellStyle name="Neutral 3 3" xfId="730"/>
    <cellStyle name="Neutral 4" xfId="731"/>
    <cellStyle name="Neutral 5" xfId="2397"/>
    <cellStyle name="Neutral 6" xfId="3661"/>
    <cellStyle name="no dec" xfId="316"/>
    <cellStyle name="no dec 2" xfId="439"/>
    <cellStyle name="no dec 3" xfId="2398"/>
    <cellStyle name="Normal" xfId="0" builtinId="0"/>
    <cellStyle name="Normal - Style1" xfId="317"/>
    <cellStyle name="Normal - Style1 2" xfId="440"/>
    <cellStyle name="Normal - Style1 3" xfId="441"/>
    <cellStyle name="Normal 10" xfId="442"/>
    <cellStyle name="Normal 10 2" xfId="2399"/>
    <cellStyle name="Normal 10 3" xfId="2400"/>
    <cellStyle name="Normal 11" xfId="443"/>
    <cellStyle name="Normal 11 2" xfId="2401"/>
    <cellStyle name="Normal 11 3" xfId="2402"/>
    <cellStyle name="Normal 12" xfId="444"/>
    <cellStyle name="Normal 12 2" xfId="2403"/>
    <cellStyle name="Normal 12 3" xfId="2404"/>
    <cellStyle name="Normal 13" xfId="445"/>
    <cellStyle name="Normal 13 2" xfId="2405"/>
    <cellStyle name="Normal 13 3" xfId="2406"/>
    <cellStyle name="Normal 14" xfId="446"/>
    <cellStyle name="Normal 14 2" xfId="2407"/>
    <cellStyle name="Normal 14 3" xfId="2408"/>
    <cellStyle name="Normal 15" xfId="447"/>
    <cellStyle name="Normal 15 2" xfId="2409"/>
    <cellStyle name="Normal 16" xfId="448"/>
    <cellStyle name="Normal 17" xfId="449"/>
    <cellStyle name="Normal 18" xfId="767"/>
    <cellStyle name="Normal 19" xfId="768"/>
    <cellStyle name="Normal 2" xfId="43"/>
    <cellStyle name="Normal 2 2" xfId="52"/>
    <cellStyle name="Normal 2 2 2" xfId="2410"/>
    <cellStyle name="Normal 2 2 2 2" xfId="2411"/>
    <cellStyle name="Normal 2 2 2 2 2" xfId="2412"/>
    <cellStyle name="Normal 2 2 2 2 2 2" xfId="2413"/>
    <cellStyle name="Normal 2 2 2 2 3" xfId="2414"/>
    <cellStyle name="Normal 2 2 2 3" xfId="2415"/>
    <cellStyle name="Normal 2 2 2 3 2" xfId="2416"/>
    <cellStyle name="Normal 2 2 2 4" xfId="2417"/>
    <cellStyle name="Normal 2 2 3" xfId="2418"/>
    <cellStyle name="Normal 2 2 3 2" xfId="2419"/>
    <cellStyle name="Normal 2 2 3 2 2" xfId="2420"/>
    <cellStyle name="Normal 2 2 3 3" xfId="2421"/>
    <cellStyle name="Normal 2 2 4" xfId="2422"/>
    <cellStyle name="Normal 2 2 4 2" xfId="2423"/>
    <cellStyle name="Normal 2 2 5" xfId="2424"/>
    <cellStyle name="Normal 2 2 5 2" xfId="2425"/>
    <cellStyle name="Normal 2 3" xfId="54"/>
    <cellStyle name="Normal 2 3 2" xfId="2426"/>
    <cellStyle name="Normal 2 3 2 2" xfId="2427"/>
    <cellStyle name="Normal 2 3 2 2 2" xfId="2428"/>
    <cellStyle name="Normal 2 3 2 3" xfId="2429"/>
    <cellStyle name="Normal 2 3 3" xfId="2430"/>
    <cellStyle name="Normal 2 3 3 2" xfId="2431"/>
    <cellStyle name="Normal 2 3 4" xfId="2432"/>
    <cellStyle name="Normal 2 3 4 2" xfId="2433"/>
    <cellStyle name="Normal 2 4" xfId="55"/>
    <cellStyle name="Normal 2 4 2" xfId="2434"/>
    <cellStyle name="Normal 2 4 2 2" xfId="2435"/>
    <cellStyle name="Normal 2 4 3" xfId="2436"/>
    <cellStyle name="Normal 2 5" xfId="56"/>
    <cellStyle name="Normal 2 5 2" xfId="2437"/>
    <cellStyle name="Normal 2 6" xfId="57"/>
    <cellStyle name="Normal 2 6 2" xfId="2438"/>
    <cellStyle name="Normal 2 7" xfId="58"/>
    <cellStyle name="Normal 2 8" xfId="59"/>
    <cellStyle name="Normal 2_3Y" xfId="2439"/>
    <cellStyle name="Normal 20" xfId="769"/>
    <cellStyle name="Normal 21" xfId="770"/>
    <cellStyle name="Normal 22" xfId="2440"/>
    <cellStyle name="Normal 22 2" xfId="2441"/>
    <cellStyle name="Normal 23" xfId="2442"/>
    <cellStyle name="Normal 23 2" xfId="2443"/>
    <cellStyle name="Normal 24" xfId="2444"/>
    <cellStyle name="Normal 24 2" xfId="2445"/>
    <cellStyle name="Normal 25" xfId="2446"/>
    <cellStyle name="Normal 25 2" xfId="2447"/>
    <cellStyle name="Normal 26" xfId="2448"/>
    <cellStyle name="Normal 26 2" xfId="2449"/>
    <cellStyle name="Normal 27" xfId="2450"/>
    <cellStyle name="Normal 28" xfId="2451"/>
    <cellStyle name="Normal 29" xfId="2452"/>
    <cellStyle name="Normal 3" xfId="48"/>
    <cellStyle name="Normal 3 2" xfId="53"/>
    <cellStyle name="Normal 3 3" xfId="3669"/>
    <cellStyle name="Normal 3 4" xfId="3670"/>
    <cellStyle name="Normal 3 5" xfId="3671"/>
    <cellStyle name="Normal 3 6" xfId="3672"/>
    <cellStyle name="Normal 3 7" xfId="3677"/>
    <cellStyle name="Normal 3 8" xfId="3680"/>
    <cellStyle name="Normal 3_3Y" xfId="2453"/>
    <cellStyle name="Normal 30" xfId="2454"/>
    <cellStyle name="Normal 31" xfId="2455"/>
    <cellStyle name="Normal 32" xfId="2456"/>
    <cellStyle name="Normal 33" xfId="2457"/>
    <cellStyle name="Normal 34" xfId="2458"/>
    <cellStyle name="Normal 35" xfId="2459"/>
    <cellStyle name="Normal 36" xfId="2460"/>
    <cellStyle name="Normal 37" xfId="2461"/>
    <cellStyle name="Normal 38" xfId="2462"/>
    <cellStyle name="Normal 39" xfId="2463"/>
    <cellStyle name="Normal 4" xfId="51"/>
    <cellStyle name="Normal 4 2" xfId="2464"/>
    <cellStyle name="Normal 4 2 2" xfId="2465"/>
    <cellStyle name="Normal 4 2 2 2" xfId="2466"/>
    <cellStyle name="Normal 4 2 2 2 2" xfId="2467"/>
    <cellStyle name="Normal 4 2 2 3" xfId="2468"/>
    <cellStyle name="Normal 4 2 3" xfId="2469"/>
    <cellStyle name="Normal 4 2 3 2" xfId="2470"/>
    <cellStyle name="Normal 4 2 4" xfId="2471"/>
    <cellStyle name="Normal 4 2 4 2" xfId="2472"/>
    <cellStyle name="Normal 4 3" xfId="2473"/>
    <cellStyle name="Normal 4 3 2" xfId="2474"/>
    <cellStyle name="Normal 4 3 2 2" xfId="2475"/>
    <cellStyle name="Normal 4 3 3" xfId="2476"/>
    <cellStyle name="Normal 4 4" xfId="2477"/>
    <cellStyle name="Normal 4 4 2" xfId="2478"/>
    <cellStyle name="Normal 4 5" xfId="2479"/>
    <cellStyle name="Normal 4_3Y" xfId="2480"/>
    <cellStyle name="Normal 40" xfId="2481"/>
    <cellStyle name="Normal 41" xfId="2482"/>
    <cellStyle name="Normal 42" xfId="2483"/>
    <cellStyle name="Normal 43" xfId="2484"/>
    <cellStyle name="Normal 44" xfId="2485"/>
    <cellStyle name="Normal 45" xfId="2486"/>
    <cellStyle name="Normal 46" xfId="2487"/>
    <cellStyle name="Normal 47" xfId="2488"/>
    <cellStyle name="Normal 48" xfId="2489"/>
    <cellStyle name="Normal 49" xfId="2490"/>
    <cellStyle name="Normal 5" xfId="60"/>
    <cellStyle name="Normal 5 2" xfId="394"/>
    <cellStyle name="Normal 5 3" xfId="2491"/>
    <cellStyle name="Normal 50" xfId="2492"/>
    <cellStyle name="Normal 51" xfId="2493"/>
    <cellStyle name="Normal 52" xfId="2494"/>
    <cellStyle name="Normal 53" xfId="2495"/>
    <cellStyle name="Normal 54" xfId="2496"/>
    <cellStyle name="Normal 55" xfId="2497"/>
    <cellStyle name="Normal 56" xfId="2498"/>
    <cellStyle name="Normal 57" xfId="2499"/>
    <cellStyle name="Normal 58" xfId="2500"/>
    <cellStyle name="Normal 59" xfId="2501"/>
    <cellStyle name="Normal 6" xfId="61"/>
    <cellStyle name="Normal 60" xfId="2502"/>
    <cellStyle name="Normal 61" xfId="2503"/>
    <cellStyle name="Normal 62" xfId="2929"/>
    <cellStyle name="Normal 63" xfId="2930"/>
    <cellStyle name="Normal 64" xfId="2931"/>
    <cellStyle name="Normal 64 2" xfId="3668"/>
    <cellStyle name="Normal 65" xfId="2932"/>
    <cellStyle name="Normal 66" xfId="3673"/>
    <cellStyle name="Normal 67" xfId="3674"/>
    <cellStyle name="Normal 68" xfId="3675"/>
    <cellStyle name="Normal 7" xfId="62"/>
    <cellStyle name="Normal 72" xfId="3662"/>
    <cellStyle name="Normal 8" xfId="63"/>
    <cellStyle name="Normal 8 2" xfId="2504"/>
    <cellStyle name="Normal 8 3" xfId="2505"/>
    <cellStyle name="Normal 9" xfId="392"/>
    <cellStyle name="Normal 9 2" xfId="2506"/>
    <cellStyle name="Normal 9 3" xfId="2507"/>
    <cellStyle name="Normal_Pricing Template" xfId="3676"/>
    <cellStyle name="Note 2" xfId="732"/>
    <cellStyle name="Note 2 2" xfId="733"/>
    <cellStyle name="Note 2 3" xfId="734"/>
    <cellStyle name="Note 3" xfId="735"/>
    <cellStyle name="Note 3 2" xfId="736"/>
    <cellStyle name="Note 3 3" xfId="737"/>
    <cellStyle name="Notitie" xfId="2508"/>
    <cellStyle name="Notitie 2" xfId="2509"/>
    <cellStyle name="Ongeldig" xfId="2510"/>
    <cellStyle name="orange text cell" xfId="318"/>
    <cellStyle name="Output 2" xfId="738"/>
    <cellStyle name="Output 2 2" xfId="739"/>
    <cellStyle name="Output 2 3" xfId="740"/>
    <cellStyle name="Output 3" xfId="741"/>
    <cellStyle name="Output 3 2" xfId="742"/>
    <cellStyle name="Output 3 3" xfId="743"/>
    <cellStyle name="Output 4" xfId="744"/>
    <cellStyle name="Output 5" xfId="2511"/>
    <cellStyle name="Output 6" xfId="3663"/>
    <cellStyle name="Output2" xfId="2512"/>
    <cellStyle name="p" xfId="2513"/>
    <cellStyle name="p_2006-2007ev" xfId="2514"/>
    <cellStyle name="p_2006-2007ev_Deals Closed" xfId="2515"/>
    <cellStyle name="p_2006-2007ev_DSG Pipeline" xfId="2516"/>
    <cellStyle name="p_April 2007" xfId="2517"/>
    <cellStyle name="p_April 2007_Deals Closed" xfId="2518"/>
    <cellStyle name="p_April 2007_DSG Pipeline" xfId="2519"/>
    <cellStyle name="p_Auction" xfId="2520"/>
    <cellStyle name="p_Auction_Deals Closed" xfId="2521"/>
    <cellStyle name="p_Auction_DSG Pipeline" xfId="2522"/>
    <cellStyle name="p_Book2" xfId="2523"/>
    <cellStyle name="p_Book2_Deals Closed" xfId="2524"/>
    <cellStyle name="p_Book2_DSG Pipeline" xfId="2525"/>
    <cellStyle name="p_CURRENT HEADCOUNT FILE 2006" xfId="2526"/>
    <cellStyle name="p_CURRENT HEADCOUNT FILE 2006_Deals Closed" xfId="2527"/>
    <cellStyle name="p_CURRENT HEADCOUNT FILE 2006_DSG Pipeline" xfId="2528"/>
    <cellStyle name="p_CURRENT HEADCOUNT FILE 2007" xfId="2529"/>
    <cellStyle name="p_CURRENT HEADCOUNT FILE 2007_Deals Closed" xfId="2530"/>
    <cellStyle name="p_CURRENT HEADCOUNT FILE 2007_DSG Pipeline" xfId="2531"/>
    <cellStyle name="p_DCF" xfId="2532"/>
    <cellStyle name="p_DCF_2006-2007ev" xfId="2533"/>
    <cellStyle name="p_DCF_2006-2007ev_Deals Closed" xfId="2534"/>
    <cellStyle name="p_DCF_2006-2007ev_DSG Pipeline" xfId="2535"/>
    <cellStyle name="p_DCF_April 2007" xfId="2536"/>
    <cellStyle name="p_DCF_April 2007_Deals Closed" xfId="2537"/>
    <cellStyle name="p_DCF_April 2007_DSG Pipeline" xfId="2538"/>
    <cellStyle name="p_DCF_Auction" xfId="2539"/>
    <cellStyle name="p_DCF_Auction_Deals Closed" xfId="2540"/>
    <cellStyle name="p_DCF_Auction_DSG Pipeline" xfId="2541"/>
    <cellStyle name="p_DCF_Book2" xfId="2542"/>
    <cellStyle name="p_DCF_Book2_Deals Closed" xfId="2543"/>
    <cellStyle name="p_DCF_Book2_DSG Pipeline" xfId="2544"/>
    <cellStyle name="p_DCF_CURRENT HEADCOUNT FILE 2006" xfId="2545"/>
    <cellStyle name="p_DCF_CURRENT HEADCOUNT FILE 2006_Deals Closed" xfId="2546"/>
    <cellStyle name="p_DCF_CURRENT HEADCOUNT FILE 2006_DSG Pipeline" xfId="2547"/>
    <cellStyle name="p_DCF_CURRENT HEADCOUNT FILE 2007" xfId="2548"/>
    <cellStyle name="p_DCF_CURRENT HEADCOUNT FILE 2007_Deals Closed" xfId="2549"/>
    <cellStyle name="p_DCF_CURRENT HEADCOUNT FILE 2007_DSG Pipeline" xfId="2550"/>
    <cellStyle name="p_DCF_Deals Closed" xfId="2551"/>
    <cellStyle name="p_DCF_December Headcount" xfId="2552"/>
    <cellStyle name="p_DCF_December Headcount_Deals Closed" xfId="2553"/>
    <cellStyle name="p_DCF_December Headcount_DSG Pipeline" xfId="2554"/>
    <cellStyle name="p_DCF_DSG Pipeline" xfId="2555"/>
    <cellStyle name="p_DCF_European Sales Futures  Research Direct Expenses YTD 2007 (4)" xfId="2556"/>
    <cellStyle name="p_DCF_European Sales Futures  Research Direct Expenses YTD 2007 (4)_Deals Closed" xfId="2557"/>
    <cellStyle name="p_DCF_European Sales Futures  Research Direct Expenses YTD 2007 (4)_DSG Pipeline" xfId="2558"/>
    <cellStyle name="p_DCF_Feb 2005" xfId="2559"/>
    <cellStyle name="p_DCF_Feb 2005_Deals Closed" xfId="2560"/>
    <cellStyle name="p_DCF_Feb 2005_DSG Pipeline" xfId="2561"/>
    <cellStyle name="p_DCF_Hds Det" xfId="2562"/>
    <cellStyle name="p_DCF_Hds Det_Deals Closed" xfId="2563"/>
    <cellStyle name="p_DCF_Hds Det_DSG Pipeline" xfId="2564"/>
    <cellStyle name="p_DCF_Headcount downloaded from Webfocus Jan08 v5" xfId="2565"/>
    <cellStyle name="p_DCF_Headcount downloaded from Webfocus Jan08 v5_Deals Closed" xfId="2566"/>
    <cellStyle name="p_DCF_Headcount downloaded from Webfocus Jan08 v5_DSG Pipeline" xfId="2567"/>
    <cellStyle name="p_DCF_Headcount Workings for Planning Headcount Submission" xfId="2568"/>
    <cellStyle name="p_DCF_Headcount Workings for Planning Headcount Submission_Deals Closed" xfId="2569"/>
    <cellStyle name="p_DCF_Headcount Workings for Planning Headcount Submission_DSG Pipeline" xfId="2570"/>
    <cellStyle name="p_DCF_Internal Transfers" xfId="2571"/>
    <cellStyle name="p_DCF_Internal Transfers_Deals Closed" xfId="2572"/>
    <cellStyle name="p_DCF_Internal Transfers_DSG Pipeline" xfId="2573"/>
    <cellStyle name="p_DCF_January 2006" xfId="2574"/>
    <cellStyle name="p_DCF_January 2006_Deals Closed" xfId="2575"/>
    <cellStyle name="p_DCF_January 2006_DSG Pipeline" xfId="2576"/>
    <cellStyle name="p_DCF_Joiners 2007" xfId="2577"/>
    <cellStyle name="p_DCF_Joiners 2007_Deals Closed" xfId="2578"/>
    <cellStyle name="p_DCF_Joiners 2007_DSG Pipeline" xfId="2579"/>
    <cellStyle name="p_DCF_Leaver List 2007" xfId="2580"/>
    <cellStyle name="p_DCF_Leaver List 2007_Deals Closed" xfId="2581"/>
    <cellStyle name="p_DCF_Leaver List 2007_DSG Pipeline" xfId="2582"/>
    <cellStyle name="p_DCF_Leavers 2007" xfId="2583"/>
    <cellStyle name="p_DCF_Leavers 2007_Deals Closed" xfId="2584"/>
    <cellStyle name="p_DCF_Leavers 2007_DSG Pipeline" xfId="2585"/>
    <cellStyle name="p_DCF_Leavers Complete to End May" xfId="2586"/>
    <cellStyle name="p_DCF_Leavers Complete to End May_Deals Closed" xfId="2587"/>
    <cellStyle name="p_DCF_Leavers Complete to End May_DSG Pipeline" xfId="2588"/>
    <cellStyle name="p_DCF_Movements" xfId="2589"/>
    <cellStyle name="p_DCF_Movements_Deals Closed" xfId="2590"/>
    <cellStyle name="p_DCF_Movements_DSG Pipeline" xfId="2591"/>
    <cellStyle name="p_DCF_October 2006" xfId="2592"/>
    <cellStyle name="p_DCF_October 2006_Deals Closed" xfId="2593"/>
    <cellStyle name="p_DCF_October 2006_DSG Pipeline" xfId="2594"/>
    <cellStyle name="p_DCF_Pending Intra FI Transfers" xfId="2595"/>
    <cellStyle name="p_DCF_Pending Intra FI Transfers_Deals Closed" xfId="2596"/>
    <cellStyle name="p_DCF_Pending Intra FI Transfers_DSG Pipeline" xfId="2597"/>
    <cellStyle name="p_DCF_Pending Joiners" xfId="2598"/>
    <cellStyle name="p_DCF_Pending Joiners No Dates" xfId="2599"/>
    <cellStyle name="p_DCF_Pending Joiners No Dates_Deals Closed" xfId="2600"/>
    <cellStyle name="p_DCF_Pending Joiners No Dates_DSG Pipeline" xfId="2601"/>
    <cellStyle name="p_DCF_Pending Joiners_Deals Closed" xfId="2602"/>
    <cellStyle name="p_DCF_Pending Joiners_DSG Pipeline" xfId="2603"/>
    <cellStyle name="p_DCF_Pending Leavers" xfId="2604"/>
    <cellStyle name="p_DCF_Pending Leavers_Deals Closed" xfId="2605"/>
    <cellStyle name="p_DCF_Pending Leavers_DSG Pipeline" xfId="2606"/>
    <cellStyle name="p_DCF_Pivot" xfId="2607"/>
    <cellStyle name="p_DCF_Pivot_Deals Closed" xfId="2608"/>
    <cellStyle name="p_DCF_Pivot_DSG Pipeline" xfId="2609"/>
    <cellStyle name="p_DCF_Qtr 1 &amp; 2" xfId="2610"/>
    <cellStyle name="p_DCF_Qtr 1 &amp; 2_Deals Closed" xfId="2611"/>
    <cellStyle name="p_DCF_Qtr 1 &amp; 2_DSG Pipeline" xfId="2612"/>
    <cellStyle name="p_DCF_Qtr 1 &amp; 2_Reg Cap" xfId="2613"/>
    <cellStyle name="p_DCF_Qtr 1 &amp; 2_Reg Cap_Deals Closed" xfId="2614"/>
    <cellStyle name="p_DCF_Qtr 1 &amp; 2_Reg Cap_DSG Pipeline" xfId="2615"/>
    <cellStyle name="p_DCF_Qtr 1 &amp; 2_Regulatory Capital Report" xfId="2616"/>
    <cellStyle name="p_DCF_Qtr 1 &amp; 2_Regulatory Capital Report_Deals Closed" xfId="2617"/>
    <cellStyle name="p_DCF_Qtr 1 &amp; 2_Regulatory Capital Report_DSG Pipeline" xfId="2618"/>
    <cellStyle name="p_DCF_Qtr 3 &amp; 4" xfId="2619"/>
    <cellStyle name="p_DCF_Qtr 3 &amp; 4_Deals Closed" xfId="2620"/>
    <cellStyle name="p_DCF_Qtr 3 &amp; 4_DSG Pipeline" xfId="2621"/>
    <cellStyle name="p_DCF_Qtr 3 &amp; 4_Reg Cap" xfId="2622"/>
    <cellStyle name="p_DCF_Qtr 3 &amp; 4_Reg Cap_Deals Closed" xfId="2623"/>
    <cellStyle name="p_DCF_Qtr 3 &amp; 4_Reg Cap_DSG Pipeline" xfId="2624"/>
    <cellStyle name="p_DCF_Qtr 3 &amp; 4_Regulatory Capital Report" xfId="2625"/>
    <cellStyle name="p_DCF_Qtr 3 &amp; 4_Regulatory Capital Report_Deals Closed" xfId="2626"/>
    <cellStyle name="p_DCF_Qtr 3 &amp; 4_Regulatory Capital Report_DSG Pipeline" xfId="2627"/>
    <cellStyle name="p_DCF_Sales - Headcount Historical data" xfId="2628"/>
    <cellStyle name="p_DCF_Sales - Headcount Historical data_Deals Closed" xfId="2629"/>
    <cellStyle name="p_DCF_Sales - Headcount Historical data_DSG Pipeline" xfId="2630"/>
    <cellStyle name="p_DCF_Sheet3" xfId="2631"/>
    <cellStyle name="p_DCF_Sheet3_Deals Closed" xfId="2632"/>
    <cellStyle name="p_DCF_Sheet3_DSG Pipeline" xfId="2633"/>
    <cellStyle name="p_DCF_Transfers" xfId="2634"/>
    <cellStyle name="p_DCF_Transfers_Deals Closed" xfId="2635"/>
    <cellStyle name="p_DCF_Transfers_DSG Pipeline" xfId="2636"/>
    <cellStyle name="p_DCF_Up to Date File" xfId="2637"/>
    <cellStyle name="p_DCF_Up to Date File_Deals Closed" xfId="2638"/>
    <cellStyle name="p_DCF_Up to Date File_DSG Pipeline" xfId="2639"/>
    <cellStyle name="p_DCF_Yr 2000" xfId="2640"/>
    <cellStyle name="p_DCF_Yr 2000_Deals Closed" xfId="2641"/>
    <cellStyle name="p_DCF_Yr 2000_DSG Pipeline" xfId="2642"/>
    <cellStyle name="p_DCF_Yr 2000_Reg Cap" xfId="2643"/>
    <cellStyle name="p_DCF_Yr 2000_Reg Cap_Deals Closed" xfId="2644"/>
    <cellStyle name="p_DCF_Yr 2000_Reg Cap_DSG Pipeline" xfId="2645"/>
    <cellStyle name="p_DCF_Yr 2000_Regulatory Capital Report" xfId="2646"/>
    <cellStyle name="p_DCF_Yr 2000_Regulatory Capital Report_Deals Closed" xfId="2647"/>
    <cellStyle name="p_DCF_Yr 2000_Regulatory Capital Report_DSG Pipeline" xfId="2648"/>
    <cellStyle name="p_Deals Closed" xfId="2649"/>
    <cellStyle name="p_December Headcount" xfId="2650"/>
    <cellStyle name="p_December Headcount_Deals Closed" xfId="2651"/>
    <cellStyle name="p_December Headcount_DSG Pipeline" xfId="2652"/>
    <cellStyle name="p_DSG Pipeline" xfId="2653"/>
    <cellStyle name="p_European Sales Futures  Research Direct Expenses YTD 2007 (4)" xfId="2654"/>
    <cellStyle name="p_European Sales Futures  Research Direct Expenses YTD 2007 (4)_Deals Closed" xfId="2655"/>
    <cellStyle name="p_European Sales Futures  Research Direct Expenses YTD 2007 (4)_DSG Pipeline" xfId="2656"/>
    <cellStyle name="p_Feb 2005" xfId="2657"/>
    <cellStyle name="p_Feb 2005_Deals Closed" xfId="2658"/>
    <cellStyle name="p_Feb 2005_DSG Pipeline" xfId="2659"/>
    <cellStyle name="p_Hds Det" xfId="2660"/>
    <cellStyle name="p_Hds Det_Deals Closed" xfId="2661"/>
    <cellStyle name="p_Hds Det_DSG Pipeline" xfId="2662"/>
    <cellStyle name="p_Headcount downloaded from Webfocus Jan08 v5" xfId="2663"/>
    <cellStyle name="p_Headcount downloaded from Webfocus Jan08 v5_Deals Closed" xfId="2664"/>
    <cellStyle name="p_Headcount downloaded from Webfocus Jan08 v5_DSG Pipeline" xfId="2665"/>
    <cellStyle name="p_Headcount Workings for Planning Headcount Submission" xfId="2666"/>
    <cellStyle name="p_Headcount Workings for Planning Headcount Submission_Deals Closed" xfId="2667"/>
    <cellStyle name="p_Headcount Workings for Planning Headcount Submission_DSG Pipeline" xfId="2668"/>
    <cellStyle name="p_Internal Transfers" xfId="2669"/>
    <cellStyle name="p_Internal Transfers_Deals Closed" xfId="2670"/>
    <cellStyle name="p_Internal Transfers_DSG Pipeline" xfId="2671"/>
    <cellStyle name="p_January 2006" xfId="2672"/>
    <cellStyle name="p_January 2006_Deals Closed" xfId="2673"/>
    <cellStyle name="p_January 2006_DSG Pipeline" xfId="2674"/>
    <cellStyle name="p_Joiners 2007" xfId="2675"/>
    <cellStyle name="p_Joiners 2007_Deals Closed" xfId="2676"/>
    <cellStyle name="p_Joiners 2007_DSG Pipeline" xfId="2677"/>
    <cellStyle name="p_Leaver List 2007" xfId="2678"/>
    <cellStyle name="p_Leaver List 2007_Deals Closed" xfId="2679"/>
    <cellStyle name="p_Leaver List 2007_DSG Pipeline" xfId="2680"/>
    <cellStyle name="p_Leavers 2007" xfId="2681"/>
    <cellStyle name="p_Leavers 2007_Deals Closed" xfId="2682"/>
    <cellStyle name="p_Leavers 2007_DSG Pipeline" xfId="2683"/>
    <cellStyle name="p_Leavers Complete to End May" xfId="2684"/>
    <cellStyle name="p_Leavers Complete to End May_Deals Closed" xfId="2685"/>
    <cellStyle name="p_Leavers Complete to End May_DSG Pipeline" xfId="2686"/>
    <cellStyle name="p_Movements" xfId="2687"/>
    <cellStyle name="p_Movements_Deals Closed" xfId="2688"/>
    <cellStyle name="p_Movements_DSG Pipeline" xfId="2689"/>
    <cellStyle name="p_October 2006" xfId="2690"/>
    <cellStyle name="p_October 2006_Deals Closed" xfId="2691"/>
    <cellStyle name="p_October 2006_DSG Pipeline" xfId="2692"/>
    <cellStyle name="p_Pending Intra FI Transfers" xfId="2693"/>
    <cellStyle name="p_Pending Intra FI Transfers_Deals Closed" xfId="2694"/>
    <cellStyle name="p_Pending Intra FI Transfers_DSG Pipeline" xfId="2695"/>
    <cellStyle name="p_Pending Joiners" xfId="2696"/>
    <cellStyle name="p_Pending Joiners No Dates" xfId="2697"/>
    <cellStyle name="p_Pending Joiners No Dates_Deals Closed" xfId="2698"/>
    <cellStyle name="p_Pending Joiners No Dates_DSG Pipeline" xfId="2699"/>
    <cellStyle name="p_Pending Joiners_Deals Closed" xfId="2700"/>
    <cellStyle name="p_Pending Joiners_DSG Pipeline" xfId="2701"/>
    <cellStyle name="p_Pending Leavers" xfId="2702"/>
    <cellStyle name="p_Pending Leavers_Deals Closed" xfId="2703"/>
    <cellStyle name="p_Pending Leavers_DSG Pipeline" xfId="2704"/>
    <cellStyle name="p_Pivot" xfId="2705"/>
    <cellStyle name="p_Pivot_Deals Closed" xfId="2706"/>
    <cellStyle name="p_Pivot_DSG Pipeline" xfId="2707"/>
    <cellStyle name="p_Qtr 1 &amp; 2" xfId="2708"/>
    <cellStyle name="p_Qtr 1 &amp; 2_Deals Closed" xfId="2709"/>
    <cellStyle name="p_Qtr 1 &amp; 2_DSG Pipeline" xfId="2710"/>
    <cellStyle name="p_Qtr 1 &amp; 2_Reg Cap" xfId="2711"/>
    <cellStyle name="p_Qtr 1 &amp; 2_Reg Cap_Deals Closed" xfId="2712"/>
    <cellStyle name="p_Qtr 1 &amp; 2_Reg Cap_DSG Pipeline" xfId="2713"/>
    <cellStyle name="p_Qtr 1 &amp; 2_Regulatory Capital Report" xfId="2714"/>
    <cellStyle name="p_Qtr 1 &amp; 2_Regulatory Capital Report_Deals Closed" xfId="2715"/>
    <cellStyle name="p_Qtr 1 &amp; 2_Regulatory Capital Report_DSG Pipeline" xfId="2716"/>
    <cellStyle name="p_Qtr 3 &amp; 4" xfId="2717"/>
    <cellStyle name="p_Qtr 3 &amp; 4_Deals Closed" xfId="2718"/>
    <cellStyle name="p_Qtr 3 &amp; 4_DSG Pipeline" xfId="2719"/>
    <cellStyle name="p_Qtr 3 &amp; 4_Reg Cap" xfId="2720"/>
    <cellStyle name="p_Qtr 3 &amp; 4_Reg Cap_Deals Closed" xfId="2721"/>
    <cellStyle name="p_Qtr 3 &amp; 4_Reg Cap_DSG Pipeline" xfId="2722"/>
    <cellStyle name="p_Qtr 3 &amp; 4_Regulatory Capital Report" xfId="2723"/>
    <cellStyle name="p_Qtr 3 &amp; 4_Regulatory Capital Report_Deals Closed" xfId="2724"/>
    <cellStyle name="p_Qtr 3 &amp; 4_Regulatory Capital Report_DSG Pipeline" xfId="2725"/>
    <cellStyle name="p_Sales - Headcount Historical data" xfId="2726"/>
    <cellStyle name="p_Sales - Headcount Historical data_Deals Closed" xfId="2727"/>
    <cellStyle name="p_Sales - Headcount Historical data_DSG Pipeline" xfId="2728"/>
    <cellStyle name="p_Sheet3" xfId="2729"/>
    <cellStyle name="p_Sheet3_Deals Closed" xfId="2730"/>
    <cellStyle name="p_Sheet3_DSG Pipeline" xfId="2731"/>
    <cellStyle name="p_Transfers" xfId="2732"/>
    <cellStyle name="p_Transfers_Deals Closed" xfId="2733"/>
    <cellStyle name="p_Transfers_DSG Pipeline" xfId="2734"/>
    <cellStyle name="p_Up to Date File" xfId="2735"/>
    <cellStyle name="p_Up to Date File_Deals Closed" xfId="2736"/>
    <cellStyle name="p_Up to Date File_DSG Pipeline" xfId="2737"/>
    <cellStyle name="p_Yr 2000" xfId="2738"/>
    <cellStyle name="p_Yr 2000_Deals Closed" xfId="2739"/>
    <cellStyle name="p_Yr 2000_DSG Pipeline" xfId="2740"/>
    <cellStyle name="p_Yr 2000_Reg Cap" xfId="2741"/>
    <cellStyle name="p_Yr 2000_Reg Cap_Deals Closed" xfId="2742"/>
    <cellStyle name="p_Yr 2000_Reg Cap_DSG Pipeline" xfId="2743"/>
    <cellStyle name="p_Yr 2000_Regulatory Capital Report" xfId="2744"/>
    <cellStyle name="p_Yr 2000_Regulatory Capital Report_Deals Closed" xfId="2745"/>
    <cellStyle name="p_Yr 2000_Regulatory Capital Report_DSG Pipeline" xfId="2746"/>
    <cellStyle name="Page" xfId="319"/>
    <cellStyle name="Page 1" xfId="320"/>
    <cellStyle name="Page 2" xfId="321"/>
    <cellStyle name="Page 3" xfId="322"/>
    <cellStyle name="Page 4" xfId="323"/>
    <cellStyle name="Page 5" xfId="324"/>
    <cellStyle name="Page 6" xfId="325"/>
    <cellStyle name="Page 7" xfId="326"/>
    <cellStyle name="Page 8" xfId="327"/>
    <cellStyle name="Page Number" xfId="328"/>
    <cellStyle name="Page Number 2" xfId="2747"/>
    <cellStyle name="Page Number 3" xfId="2748"/>
    <cellStyle name="Page1" xfId="329"/>
    <cellStyle name="Page2" xfId="330"/>
    <cellStyle name="Page3" xfId="331"/>
    <cellStyle name="Page4" xfId="332"/>
    <cellStyle name="Page5" xfId="333"/>
    <cellStyle name="Page6" xfId="334"/>
    <cellStyle name="PB Table Heading" xfId="335"/>
    <cellStyle name="PB Table Highlight1" xfId="336"/>
    <cellStyle name="PB Table Highlight2" xfId="337"/>
    <cellStyle name="PB Table Highlight3" xfId="338"/>
    <cellStyle name="PB Table Standard Row" xfId="339"/>
    <cellStyle name="PB Table Standard Row 2" xfId="2749"/>
    <cellStyle name="PB Table Standard Row 2 2" xfId="2750"/>
    <cellStyle name="PB Table Standard Row 2 3" xfId="2751"/>
    <cellStyle name="PB Table Standard Row 2 4" xfId="2752"/>
    <cellStyle name="PB Table Standard Row 2 5" xfId="2753"/>
    <cellStyle name="PB Table Standard Row 3" xfId="2754"/>
    <cellStyle name="PB Table Standard Row 3 2" xfId="2755"/>
    <cellStyle name="PB Table Standard Row 3 3" xfId="2756"/>
    <cellStyle name="PB Table Standard Row 3 4" xfId="2757"/>
    <cellStyle name="PB Table Standard Row 3 5" xfId="2758"/>
    <cellStyle name="PB Table Subtotal Row" xfId="340"/>
    <cellStyle name="PB Table Total Row" xfId="341"/>
    <cellStyle name="pb_table_format_plain" xfId="44"/>
    <cellStyle name="Percent [0%]" xfId="342"/>
    <cellStyle name="Percent [0.00%]" xfId="343"/>
    <cellStyle name="Percent [2]" xfId="344"/>
    <cellStyle name="Percent [2] 2" xfId="450"/>
    <cellStyle name="Percent [2] 3" xfId="451"/>
    <cellStyle name="Percent 10" xfId="452"/>
    <cellStyle name="Percent 10 2" xfId="2759"/>
    <cellStyle name="Percent 10 3" xfId="2760"/>
    <cellStyle name="Percent 11" xfId="453"/>
    <cellStyle name="Percent 11 2" xfId="2761"/>
    <cellStyle name="Percent 11 3" xfId="2762"/>
    <cellStyle name="Percent 12" xfId="454"/>
    <cellStyle name="Percent 13" xfId="455"/>
    <cellStyle name="Percent 14" xfId="456"/>
    <cellStyle name="Percent 15" xfId="457"/>
    <cellStyle name="Percent 16" xfId="458"/>
    <cellStyle name="Percent 17" xfId="459"/>
    <cellStyle name="Percent 18" xfId="460"/>
    <cellStyle name="Percent 19" xfId="461"/>
    <cellStyle name="Percent 2" xfId="45"/>
    <cellStyle name="Percent 2 2" xfId="766"/>
    <cellStyle name="Percent 20" xfId="2763"/>
    <cellStyle name="Percent 21" xfId="2764"/>
    <cellStyle name="Percent 22" xfId="2765"/>
    <cellStyle name="Percent 23" xfId="2766"/>
    <cellStyle name="Percent 24" xfId="2767"/>
    <cellStyle name="Percent 25" xfId="2768"/>
    <cellStyle name="Percent 26" xfId="2769"/>
    <cellStyle name="Percent 27" xfId="2770"/>
    <cellStyle name="Percent 28" xfId="2771"/>
    <cellStyle name="Percent 29" xfId="2772"/>
    <cellStyle name="Percent 3" xfId="46"/>
    <cellStyle name="Percent 3 2" xfId="2773"/>
    <cellStyle name="Percent 3 3" xfId="2774"/>
    <cellStyle name="Percent 30" xfId="2775"/>
    <cellStyle name="Percent 31" xfId="2776"/>
    <cellStyle name="Percent 32" xfId="2777"/>
    <cellStyle name="Percent 33" xfId="2778"/>
    <cellStyle name="Percent 34" xfId="2779"/>
    <cellStyle name="Percent 35" xfId="2780"/>
    <cellStyle name="Percent 36" xfId="2781"/>
    <cellStyle name="Percent 37" xfId="2782"/>
    <cellStyle name="Percent 38" xfId="2783"/>
    <cellStyle name="Percent 39" xfId="2784"/>
    <cellStyle name="Percent 4" xfId="390"/>
    <cellStyle name="Percent 4 2" xfId="2785"/>
    <cellStyle name="Percent 4 3" xfId="2786"/>
    <cellStyle name="Percent 40" xfId="2787"/>
    <cellStyle name="Percent 41" xfId="2788"/>
    <cellStyle name="Percent 42" xfId="2789"/>
    <cellStyle name="Percent 43" xfId="2790"/>
    <cellStyle name="Percent 44" xfId="2791"/>
    <cellStyle name="Percent 45" xfId="2792"/>
    <cellStyle name="Percent 46" xfId="2793"/>
    <cellStyle name="Percent 47" xfId="2794"/>
    <cellStyle name="Percent 48" xfId="2795"/>
    <cellStyle name="Percent 49" xfId="2796"/>
    <cellStyle name="Percent 5" xfId="462"/>
    <cellStyle name="Percent 5 2" xfId="2797"/>
    <cellStyle name="Percent 5 3" xfId="2798"/>
    <cellStyle name="Percent 50" xfId="2799"/>
    <cellStyle name="Percent 51" xfId="2800"/>
    <cellStyle name="Percent 52" xfId="2801"/>
    <cellStyle name="Percent 53" xfId="2802"/>
    <cellStyle name="Percent 54" xfId="2803"/>
    <cellStyle name="Percent 55" xfId="2804"/>
    <cellStyle name="Percent 56" xfId="2805"/>
    <cellStyle name="Percent 57" xfId="2806"/>
    <cellStyle name="Percent 58" xfId="2807"/>
    <cellStyle name="Percent 59" xfId="2808"/>
    <cellStyle name="Percent 6" xfId="463"/>
    <cellStyle name="Percent 6 2" xfId="2809"/>
    <cellStyle name="Percent 60" xfId="2810"/>
    <cellStyle name="Percent 61" xfId="2933"/>
    <cellStyle name="Percent 7" xfId="464"/>
    <cellStyle name="Percent 8" xfId="465"/>
    <cellStyle name="Percent 8 2" xfId="2811"/>
    <cellStyle name="Percent 9" xfId="466"/>
    <cellStyle name="Percent 9 2" xfId="2812"/>
    <cellStyle name="Percent Input" xfId="2813"/>
    <cellStyle name="Percent0" xfId="2814"/>
    <cellStyle name="Percent1" xfId="2815"/>
    <cellStyle name="Porcentaje" xfId="345"/>
    <cellStyle name="Porcentaje 2" xfId="467"/>
    <cellStyle name="Porcentaje 3" xfId="2816"/>
    <cellStyle name="Price" xfId="2817"/>
    <cellStyle name="Programs" xfId="346"/>
    <cellStyle name="PSChar" xfId="2818"/>
    <cellStyle name="PSDate" xfId="2819"/>
    <cellStyle name="PSDec" xfId="2820"/>
    <cellStyle name="PSHeading" xfId="2821"/>
    <cellStyle name="PSInt" xfId="2822"/>
    <cellStyle name="PSSpacer" xfId="2823"/>
    <cellStyle name="PV" xfId="2824"/>
    <cellStyle name="rate" xfId="2825"/>
    <cellStyle name="rate 2" xfId="2826"/>
    <cellStyle name="rateinput" xfId="2827"/>
    <cellStyle name="Rates" xfId="347"/>
    <cellStyle name="RefCell" xfId="2828"/>
    <cellStyle name="resulkt" xfId="2829"/>
    <cellStyle name="result" xfId="2830"/>
    <cellStyle name="resultAR" xfId="2831"/>
    <cellStyle name="resultrate" xfId="2832"/>
    <cellStyle name="resultrate 2" xfId="2833"/>
    <cellStyle name="resultSpread" xfId="2834"/>
    <cellStyle name="resultSpread 2" xfId="2835"/>
    <cellStyle name="RevList" xfId="348"/>
    <cellStyle name="RM" xfId="349"/>
    <cellStyle name="RM 2" xfId="2836"/>
    <cellStyle name="Ross_Table_1" xfId="350"/>
    <cellStyle name="SelectFormat" xfId="2837"/>
    <cellStyle name="Semi" xfId="351"/>
    <cellStyle name="Set" xfId="2838"/>
    <cellStyle name="SHEET2!Normal" xfId="2839"/>
    <cellStyle name="Sheetmult" xfId="2840"/>
    <cellStyle name="Shtmultx" xfId="2841"/>
    <cellStyle name="SS Col Hdr" xfId="352"/>
    <cellStyle name="SS Dim 1 Blank" xfId="353"/>
    <cellStyle name="SS Dim 1 Blank 2" xfId="468"/>
    <cellStyle name="SS Dim 1 Blank 3" xfId="469"/>
    <cellStyle name="SS Dim 1 Title" xfId="354"/>
    <cellStyle name="SS Dim 1 Value" xfId="355"/>
    <cellStyle name="SS Dim 2 Blank" xfId="356"/>
    <cellStyle name="SS Dim 2 Title" xfId="357"/>
    <cellStyle name="SS Dim 2 Value" xfId="358"/>
    <cellStyle name="SS Dim 3 Blank" xfId="359"/>
    <cellStyle name="SS Dim 3 Title" xfId="360"/>
    <cellStyle name="SS Dim 3 Value" xfId="361"/>
    <cellStyle name="SS Dim 4 Blank" xfId="362"/>
    <cellStyle name="SS Dim 4 Title" xfId="363"/>
    <cellStyle name="SS Dim 4 Value" xfId="364"/>
    <cellStyle name="SS Dim 5 Blank" xfId="365"/>
    <cellStyle name="SS Dim 5 Title" xfId="366"/>
    <cellStyle name="SS Dim 5 Value" xfId="367"/>
    <cellStyle name="SS Other Measure" xfId="368"/>
    <cellStyle name="SS Other Measure 2" xfId="470"/>
    <cellStyle name="SS Other Measure 3" xfId="471"/>
    <cellStyle name="SS Sum Measure" xfId="369"/>
    <cellStyle name="SS Sum Measure 2" xfId="472"/>
    <cellStyle name="SS Sum Measure 3" xfId="473"/>
    <cellStyle name="SS Unbound Dim" xfId="370"/>
    <cellStyle name="SS Unbound Dim 2" xfId="474"/>
    <cellStyle name="SS Unbound Dim 3" xfId="475"/>
    <cellStyle name="SS WAvg Measure" xfId="371"/>
    <cellStyle name="SS WAvg Measure 2" xfId="476"/>
    <cellStyle name="SS WAvg Measure 3" xfId="477"/>
    <cellStyle name="StandingData" xfId="372"/>
    <cellStyle name="Style 1" xfId="47"/>
    <cellStyle name="Style 1 2" xfId="478"/>
    <cellStyle name="Style 1 2 2" xfId="2842"/>
    <cellStyle name="Style 1 3" xfId="479"/>
    <cellStyle name="Style 10" xfId="2843"/>
    <cellStyle name="Style 11" xfId="2844"/>
    <cellStyle name="Style 12" xfId="2845"/>
    <cellStyle name="Style 13" xfId="2846"/>
    <cellStyle name="Style 14" xfId="2847"/>
    <cellStyle name="Style 15" xfId="2848"/>
    <cellStyle name="Style 16" xfId="2849"/>
    <cellStyle name="Style 17" xfId="2850"/>
    <cellStyle name="Style 18" xfId="2851"/>
    <cellStyle name="Style 19" xfId="2852"/>
    <cellStyle name="Style 2" xfId="2853"/>
    <cellStyle name="Style 2 2" xfId="2854"/>
    <cellStyle name="Style 20" xfId="2855"/>
    <cellStyle name="Style 21" xfId="2856"/>
    <cellStyle name="Style 22" xfId="2857"/>
    <cellStyle name="Style 23" xfId="2858"/>
    <cellStyle name="Style 24" xfId="2859"/>
    <cellStyle name="Style 3" xfId="2860"/>
    <cellStyle name="Style 4" xfId="2861"/>
    <cellStyle name="Style 5" xfId="2862"/>
    <cellStyle name="Style 6" xfId="2863"/>
    <cellStyle name="Style 7" xfId="2864"/>
    <cellStyle name="Style 8" xfId="2865"/>
    <cellStyle name="Style 9" xfId="2866"/>
    <cellStyle name="styleDEnormalgray" xfId="2867"/>
    <cellStyle name="subtitle" xfId="373"/>
    <cellStyle name="subtitle 2" xfId="2868"/>
    <cellStyle name="subTitle 3" xfId="2869"/>
    <cellStyle name="subTitle 4" xfId="2870"/>
    <cellStyle name="subTitle 5" xfId="2871"/>
    <cellStyle name="subTitle 6" xfId="2872"/>
    <cellStyle name="subTitle 7" xfId="2873"/>
    <cellStyle name="subTitleCA" xfId="2874"/>
    <cellStyle name="Subtotal" xfId="374"/>
    <cellStyle name="Swap" xfId="375"/>
    <cellStyle name="Switch" xfId="2875"/>
    <cellStyle name="Table Head" xfId="376"/>
    <cellStyle name="Table Head Aligned" xfId="377"/>
    <cellStyle name="Table Head Aligned 2" xfId="2876"/>
    <cellStyle name="Table Head Aligned 2 2" xfId="2877"/>
    <cellStyle name="Table Head Aligned 2 3" xfId="2878"/>
    <cellStyle name="Table Head Aligned 2 4" xfId="2879"/>
    <cellStyle name="Table Head Aligned 3" xfId="2880"/>
    <cellStyle name="Table Head Aligned 3 2" xfId="2881"/>
    <cellStyle name="Table Head Aligned 3 3" xfId="2882"/>
    <cellStyle name="Table Head Aligned 3 4" xfId="2883"/>
    <cellStyle name="Table Head Aligned 3 5" xfId="2884"/>
    <cellStyle name="Table Head Blue" xfId="378"/>
    <cellStyle name="Table Head Blue 2" xfId="2885"/>
    <cellStyle name="Table Head Blue 3" xfId="2886"/>
    <cellStyle name="Table Head Green" xfId="379"/>
    <cellStyle name="Table Head Green 2" xfId="2887"/>
    <cellStyle name="Table Head Green 2 2" xfId="2888"/>
    <cellStyle name="Table Head Green 2 2 2" xfId="2889"/>
    <cellStyle name="Table Head Green 2 2 3" xfId="2890"/>
    <cellStyle name="Table Head Green 2 2 4" xfId="2891"/>
    <cellStyle name="Table Head Green 2 3" xfId="2892"/>
    <cellStyle name="Table Head Green 2 3 2" xfId="2893"/>
    <cellStyle name="Table Head Green 2 3 3" xfId="2894"/>
    <cellStyle name="Table Head Green 2 3 4" xfId="2895"/>
    <cellStyle name="Table Head Green 2 3 5" xfId="2896"/>
    <cellStyle name="Table Head Green 3" xfId="2897"/>
    <cellStyle name="Table Head Green 3 2" xfId="2898"/>
    <cellStyle name="Table Head Green 3 3" xfId="2899"/>
    <cellStyle name="Table Head Green 3 4" xfId="2900"/>
    <cellStyle name="Table Head Green 4" xfId="2901"/>
    <cellStyle name="Table Head Green 4 2" xfId="2902"/>
    <cellStyle name="Table Head Green 4 3" xfId="2903"/>
    <cellStyle name="Table Head Green 4 4" xfId="2904"/>
    <cellStyle name="Table Head Green 4 5" xfId="2905"/>
    <cellStyle name="Table Head Green 5" xfId="2906"/>
    <cellStyle name="Table Head_01-2012" xfId="2907"/>
    <cellStyle name="Table Heading" xfId="380"/>
    <cellStyle name="Table Heading 2" xfId="2908"/>
    <cellStyle name="Table Title" xfId="381"/>
    <cellStyle name="Table Units" xfId="382"/>
    <cellStyle name="Table Units 2" xfId="2909"/>
    <cellStyle name="Thousands" xfId="2910"/>
    <cellStyle name="Titel" xfId="2911"/>
    <cellStyle name="Title 2" xfId="745"/>
    <cellStyle name="Title 2 2" xfId="746"/>
    <cellStyle name="Title 2 3" xfId="747"/>
    <cellStyle name="Title 3" xfId="748"/>
    <cellStyle name="Title 3 2" xfId="749"/>
    <cellStyle name="Title 3 3" xfId="750"/>
    <cellStyle name="Title 4" xfId="2912"/>
    <cellStyle name="Title 5" xfId="2913"/>
    <cellStyle name="Title 6" xfId="3664"/>
    <cellStyle name="Totaal" xfId="2914"/>
    <cellStyle name="Totaal 2" xfId="2915"/>
    <cellStyle name="Total 2" xfId="751"/>
    <cellStyle name="Total 2 2" xfId="752"/>
    <cellStyle name="Total 2 3" xfId="753"/>
    <cellStyle name="Total 3" xfId="754"/>
    <cellStyle name="Total 3 2" xfId="755"/>
    <cellStyle name="Total 3 3" xfId="756"/>
    <cellStyle name="Total 4" xfId="757"/>
    <cellStyle name="Total 5" xfId="2916"/>
    <cellStyle name="Total 6" xfId="3665"/>
    <cellStyle name="toto" xfId="383"/>
    <cellStyle name="Uitvoer" xfId="2917"/>
    <cellStyle name="Uitvoer 2" xfId="2918"/>
    <cellStyle name="User" xfId="384"/>
    <cellStyle name="UserInput" xfId="385"/>
    <cellStyle name="validation" xfId="2919"/>
    <cellStyle name="Verklarende tekst" xfId="2920"/>
    <cellStyle name="VerticalText" xfId="386"/>
    <cellStyle name="Waarschuwingstekst" xfId="2921"/>
    <cellStyle name="Warning Text 2" xfId="758"/>
    <cellStyle name="Warning Text 2 2" xfId="759"/>
    <cellStyle name="Warning Text 2 3" xfId="760"/>
    <cellStyle name="Warning Text 3" xfId="761"/>
    <cellStyle name="Warning Text 3 2" xfId="762"/>
    <cellStyle name="Warning Text 3 3" xfId="763"/>
    <cellStyle name="Warning Text 4" xfId="764"/>
    <cellStyle name="Warning Text 5" xfId="2922"/>
    <cellStyle name="Warning Text 6" xfId="3666"/>
    <cellStyle name="WorkSpace" xfId="387"/>
    <cellStyle name="Years" xfId="2923"/>
    <cellStyle name="Yellow Shade" xfId="388"/>
    <cellStyle name="Yellow Shade 2" xfId="2924"/>
    <cellStyle name="YellowShade" xfId="389"/>
    <cellStyle name="桁区切り [0.00]_MonthlyEvTemplateFinalNew" xfId="2925"/>
    <cellStyle name="桁区切り_itjb04_0511" xfId="2926"/>
    <cellStyle name="桁蟻唇Ｆ_rev offset 9912" xfId="2927"/>
    <cellStyle name="標準_~dd7C" xfId="292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1.42</v>
        <stp/>
        <stp>##V3_BDPV12</stp>
        <stp>FEDL01 Index</stp>
        <stp>PX_last</stp>
        <stp>[Z. IBRD Benchmarks_template updated 2017-value.xlsm]Main!R39C2</stp>
        <tr r="B39" s="174"/>
      </tp>
      <tp>
        <v>1.42</v>
        <stp/>
        <stp>##V3_BDPV12</stp>
        <stp>FEDL01 Index</stp>
        <stp>PX_last</stp>
        <stp>[Z. IBRD Benchmarks_template updated 2017-value.xlsm]Main!R39C7</stp>
        <tr r="G39" s="174"/>
      </tp>
      <tp>
        <v>20.625</v>
        <stp/>
        <stp>##V3_BDPV12</stp>
        <stp>USBAAC PREB Curncy</stp>
        <stp>PX_last</stp>
        <stp>[Z. IBRD Benchmarks_template updated 2017-value.xlsm]Main!R45C7</stp>
        <tr r="G45" s="174"/>
      </tp>
      <tp>
        <v>20.625</v>
        <stp/>
        <stp>##V3_BDPV12</stp>
        <stp>USBAAC PREB Curncy</stp>
        <stp>PX_last</stp>
        <stp>[Z. IBRD Benchmarks_template updated 2017-value.xlsm]Main!R45C2</stp>
        <tr r="B45" s="174"/>
      </tp>
      <tp>
        <v>20.375</v>
        <stp/>
        <stp>##V3_BDPV12</stp>
        <stp>USBL1 PREB Curncy</stp>
        <stp>PX_last</stp>
        <stp>[Z. IBRD Benchmarks_template updated 2017-value.xlsm]Main!R49C2</stp>
        <tr r="B49" s="174"/>
      </tp>
      <tp>
        <v>20.375</v>
        <stp/>
        <stp>##V3_BDPV12</stp>
        <stp>USBL1 PREB Curncy</stp>
        <stp>PX_last</stp>
        <stp>[Z. IBRD Benchmarks_template updated 2017-value.xlsm]Main!R49C7</stp>
        <tr r="G49" s="174"/>
      </tp>
    </main>
    <main first="bloomberg.rtd">
      <tp>
        <v>2.3187000000000002</v>
        <stp/>
        <stp>##V3_BDPV12</stp>
        <stp>ussw1 index</stp>
        <stp>PX_last</stp>
        <stp>[Z. IBRD Benchmarks_template updated 2017-value.xlsm]Main!R44C2</stp>
        <tr r="B44" s="174"/>
      </tp>
      <tp>
        <v>2.3187000000000002</v>
        <stp/>
        <stp>##V3_BDPV12</stp>
        <stp>ussw1 index</stp>
        <stp>PX_last</stp>
        <stp>[Z. IBRD Benchmarks_template updated 2017-value.xlsm]Main!R44C7</stp>
        <tr r="G44" s="174"/>
      </tp>
      <tp>
        <v>27.875</v>
        <stp/>
        <stp>##V3_BDPV12</stp>
        <stp>USBBF PREB Curncy</stp>
        <stp>PX_MID</stp>
        <stp>[Z. IBRD Benchmarks_template updated 2017-value.xlsm]Main!R46C7</stp>
        <tr r="G46" s="174"/>
      </tp>
      <tp>
        <v>27.875</v>
        <stp/>
        <stp>##V3_BDPV12</stp>
        <stp>USBBF PREB Curncy</stp>
        <stp>PX_MID</stp>
        <stp>[Z. IBRD Benchmarks_template updated 2017-value.xlsm]Main!R46C2</stp>
        <tr r="B46" s="174"/>
      </tp>
      <tp>
        <v>10.125</v>
        <stp/>
        <stp>##V3_BDPV12</stp>
        <stp>usbc1 index</stp>
        <stp>PX_last</stp>
        <stp>[Z. IBRD Benchmarks_template updated 2017-value.xlsm]Main!R48C2</stp>
        <tr r="B48" s="174"/>
      </tp>
      <tp>
        <v>10.125</v>
        <stp/>
        <stp>##V3_BDPV12</stp>
        <stp>usbc1 index</stp>
        <stp>PX_last</stp>
        <stp>[Z. IBRD Benchmarks_template updated 2017-value.xlsm]Main!R48C7</stp>
        <tr r="G48" s="174"/>
      </tp>
      <tp>
        <v>1.4424999999999999</v>
        <stp/>
        <stp>##V3_BDPV12</stp>
        <stp>US00O/N Index</stp>
        <stp>PX_last</stp>
        <stp>[Z. IBRD Benchmarks_template updated 2017-value.xlsm]FinalIBRD!R38C2</stp>
        <tr r="B38" s="2"/>
      </tp>
      <tp>
        <v>1.6700699999999999</v>
        <stp/>
        <stp>##V3_BDPV12</stp>
        <stp>US0001M Index</stp>
        <stp>PX_last</stp>
        <stp>[Z. IBRD Benchmarks_template updated 2017-value.xlsm]Main!R41C2</stp>
        <tr r="B41" s="174"/>
      </tp>
      <tp>
        <v>1.6700699999999999</v>
        <stp/>
        <stp>##V3_BDPV12</stp>
        <stp>US0001M Index</stp>
        <stp>PX_last</stp>
        <stp>[Z. IBRD Benchmarks_template updated 2017-value.xlsm]Main!R41C7</stp>
        <tr r="G41" s="174"/>
      </tp>
      <tp>
        <v>40.625</v>
        <stp/>
        <stp>##V3_BDPV12</stp>
        <stp>usBGC index</stp>
        <stp>PX_last</stp>
        <stp>[Z. IBRD Benchmarks_template updated 2017-value.xlsm]Main!R40C2</stp>
        <tr r="B40" s="174"/>
      </tp>
      <tp>
        <v>40.625</v>
        <stp/>
        <stp>##V3_BDPV12</stp>
        <stp>usBGC index</stp>
        <stp>PX_last</stp>
        <stp>[Z. IBRD Benchmarks_template updated 2017-value.xlsm]Main!R40C7</stp>
        <tr r="G40" s="174"/>
      </tp>
      <tp>
        <v>1.4424999999999999</v>
        <stp/>
        <stp>##V3_BDPV12</stp>
        <stp>US00O/N Index</stp>
        <stp>PX_last</stp>
        <stp>[Z. IBRD Benchmarks_template updated 2017-value.xlsm]Main!R38C7</stp>
        <tr r="G38" s="174"/>
      </tp>
      <tp>
        <v>1.4424999999999999</v>
        <stp/>
        <stp>##V3_BDPV12</stp>
        <stp>US00O/N Index</stp>
        <stp>PX_last</stp>
        <stp>[Z. IBRD Benchmarks_template updated 2017-value.xlsm]Main!R38C2</stp>
        <tr r="B38" s="174"/>
      </tp>
      <tp>
        <v>2.0171899999999998</v>
        <stp/>
        <stp>##V3_BDPV12</stp>
        <stp>us0003m index</stp>
        <stp>PX_last</stp>
        <stp>[Z. IBRD Benchmarks_template updated 2017-value.xlsm]Main!R42C2</stp>
        <tr r="B42" s="174"/>
      </tp>
      <tp>
        <v>2.0171899999999998</v>
        <stp/>
        <stp>##V3_BDPV12</stp>
        <stp>us0003m index</stp>
        <stp>PX_last</stp>
        <stp>[Z. IBRD Benchmarks_template updated 2017-value.xlsm]Main!R42C7</stp>
        <tr r="G42" s="174"/>
      </tp>
      <tp>
        <v>2.2237499999999999</v>
        <stp/>
        <stp>##V3_BDPV12</stp>
        <stp>us0006m index</stp>
        <stp>PX_last</stp>
        <stp>[Z. IBRD Benchmarks_template updated 2017-value.xlsm]Main!R43C2</stp>
        <tr r="B43" s="174"/>
      </tp>
      <tp>
        <v>2.2237499999999999</v>
        <stp/>
        <stp>##V3_BDPV12</stp>
        <stp>us0006m index</stp>
        <stp>PX_last</stp>
        <stp>[Z. IBRD Benchmarks_template updated 2017-value.xlsm]Main!R43C7</stp>
        <tr r="G43" s="174"/>
      </tp>
      <tp>
        <v>9.125</v>
        <stp/>
        <stp>##V3_BDPV12</stp>
        <stp>usbcf index</stp>
        <stp>PX_last</stp>
        <stp>[Z. IBRD Benchmarks_template updated 2017-value.xlsm]Main!R47C2</stp>
        <tr r="B47" s="174"/>
      </tp>
      <tp>
        <v>9.125</v>
        <stp/>
        <stp>##V3_BDPV12</stp>
        <stp>usbcf index</stp>
        <stp>PX_last</stp>
        <stp>[Z. IBRD Benchmarks_template updated 2017-value.xlsm]Main!R47C7</stp>
        <tr r="G47" s="17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76200</xdr:rowOff>
    </xdr:from>
    <xdr:to>
      <xdr:col>13</xdr:col>
      <xdr:colOff>403411</xdr:colOff>
      <xdr:row>1</xdr:row>
      <xdr:rowOff>461122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76200"/>
          <a:ext cx="13245352" cy="47456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 editAs="absolute">
    <xdr:from>
      <xdr:col>0</xdr:col>
      <xdr:colOff>209550</xdr:colOff>
      <xdr:row>1</xdr:row>
      <xdr:rowOff>47625</xdr:rowOff>
    </xdr:from>
    <xdr:to>
      <xdr:col>1</xdr:col>
      <xdr:colOff>26336</xdr:colOff>
      <xdr:row>1</xdr:row>
      <xdr:rowOff>406213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09550" y="133350"/>
          <a:ext cx="1524002" cy="3585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800" b="1" i="1">
              <a:solidFill>
                <a:schemeClr val="bg1"/>
              </a:solidFill>
            </a:rPr>
            <a:t>Control</a:t>
          </a:r>
          <a:r>
            <a:rPr lang="en-US" sz="1800" b="1" i="1" baseline="0">
              <a:solidFill>
                <a:schemeClr val="bg1"/>
              </a:solidFill>
            </a:rPr>
            <a:t> Panel</a:t>
          </a:r>
          <a:endParaRPr lang="en-US" sz="1800" b="1" i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</xdr:col>
      <xdr:colOff>131109</xdr:colOff>
      <xdr:row>1</xdr:row>
      <xdr:rowOff>85725</xdr:rowOff>
    </xdr:from>
    <xdr:to>
      <xdr:col>4</xdr:col>
      <xdr:colOff>132790</xdr:colOff>
      <xdr:row>1</xdr:row>
      <xdr:rowOff>388284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838325" y="171450"/>
          <a:ext cx="2958353" cy="302559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200" b="1"/>
            <a:t>Note: remember to ENABLE the macros.</a:t>
          </a:r>
        </a:p>
      </xdr:txBody>
    </xdr:sp>
    <xdr:clientData/>
  </xdr:twoCellAnchor>
  <xdr:twoCellAnchor editAs="absolute">
    <xdr:from>
      <xdr:col>4</xdr:col>
      <xdr:colOff>298637</xdr:colOff>
      <xdr:row>1</xdr:row>
      <xdr:rowOff>47625</xdr:rowOff>
    </xdr:from>
    <xdr:to>
      <xdr:col>4</xdr:col>
      <xdr:colOff>769284</xdr:colOff>
      <xdr:row>1</xdr:row>
      <xdr:rowOff>406213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4962525" y="133350"/>
          <a:ext cx="470647" cy="3585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800" b="1" i="0">
              <a:solidFill>
                <a:schemeClr val="bg1"/>
              </a:solidFill>
            </a:rPr>
            <a:t>1)</a:t>
          </a:r>
        </a:p>
      </xdr:txBody>
    </xdr:sp>
    <xdr:clientData/>
  </xdr:twoCellAnchor>
  <xdr:twoCellAnchor editAs="absolute">
    <xdr:from>
      <xdr:col>4</xdr:col>
      <xdr:colOff>679637</xdr:colOff>
      <xdr:row>1</xdr:row>
      <xdr:rowOff>19050</xdr:rowOff>
    </xdr:from>
    <xdr:to>
      <xdr:col>6</xdr:col>
      <xdr:colOff>768162</xdr:colOff>
      <xdr:row>1</xdr:row>
      <xdr:rowOff>422462</xdr:rowOff>
    </xdr:to>
    <xdr:sp macro="[0]!OpenCopyFinalIRBD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343525" y="104775"/>
          <a:ext cx="2061881" cy="403412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tIns="0" bIns="0" rtlCol="0" anchor="ctr"/>
        <a:lstStyle/>
        <a:p>
          <a:pPr algn="ctr"/>
          <a:r>
            <a:rPr lang="en-US" sz="1100"/>
            <a:t>COPY</a:t>
          </a:r>
          <a:r>
            <a:rPr lang="en-US" sz="1100" baseline="0"/>
            <a:t> ROWS</a:t>
          </a:r>
          <a:br>
            <a:rPr lang="en-US" sz="1100"/>
          </a:br>
          <a:r>
            <a:rPr lang="en-US" sz="1100"/>
            <a:t>From</a:t>
          </a:r>
          <a:r>
            <a:rPr lang="en-US" sz="1100" baseline="0"/>
            <a:t> FinalIRBD</a:t>
          </a:r>
          <a:endParaRPr lang="en-US" sz="1100"/>
        </a:p>
      </xdr:txBody>
    </xdr:sp>
    <xdr:clientData/>
  </xdr:twoCellAnchor>
  <xdr:twoCellAnchor editAs="absolute">
    <xdr:from>
      <xdr:col>6</xdr:col>
      <xdr:colOff>973231</xdr:colOff>
      <xdr:row>1</xdr:row>
      <xdr:rowOff>43703</xdr:rowOff>
    </xdr:from>
    <xdr:to>
      <xdr:col>7</xdr:col>
      <xdr:colOff>457760</xdr:colOff>
      <xdr:row>1</xdr:row>
      <xdr:rowOff>402291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7607113" y="133350"/>
          <a:ext cx="470647" cy="3585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800" b="1" i="0">
              <a:solidFill>
                <a:schemeClr val="bg1"/>
              </a:solidFill>
            </a:rPr>
            <a:t>2)</a:t>
          </a:r>
        </a:p>
      </xdr:txBody>
    </xdr:sp>
    <xdr:clientData/>
  </xdr:twoCellAnchor>
  <xdr:twoCellAnchor editAs="absolute">
    <xdr:from>
      <xdr:col>7</xdr:col>
      <xdr:colOff>390525</xdr:colOff>
      <xdr:row>1</xdr:row>
      <xdr:rowOff>15128</xdr:rowOff>
    </xdr:from>
    <xdr:to>
      <xdr:col>10</xdr:col>
      <xdr:colOff>187697</xdr:colOff>
      <xdr:row>1</xdr:row>
      <xdr:rowOff>418540</xdr:rowOff>
    </xdr:to>
    <xdr:sp macro="[0]!ClearMain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010525" y="104775"/>
          <a:ext cx="2060760" cy="403412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tIns="0" bIns="0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  <xdr:twoCellAnchor editAs="absolute">
    <xdr:from>
      <xdr:col>10</xdr:col>
      <xdr:colOff>298077</xdr:colOff>
      <xdr:row>1</xdr:row>
      <xdr:rowOff>26894</xdr:rowOff>
    </xdr:from>
    <xdr:to>
      <xdr:col>10</xdr:col>
      <xdr:colOff>768724</xdr:colOff>
      <xdr:row>1</xdr:row>
      <xdr:rowOff>385482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10181665" y="116541"/>
          <a:ext cx="470647" cy="3585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800" b="1" i="0">
              <a:solidFill>
                <a:schemeClr val="bg1"/>
              </a:solidFill>
            </a:rPr>
            <a:t>3)</a:t>
          </a:r>
        </a:p>
      </xdr:txBody>
    </xdr:sp>
    <xdr:clientData/>
  </xdr:twoCellAnchor>
  <xdr:twoCellAnchor editAs="absolute">
    <xdr:from>
      <xdr:col>10</xdr:col>
      <xdr:colOff>767044</xdr:colOff>
      <xdr:row>1</xdr:row>
      <xdr:rowOff>21851</xdr:rowOff>
    </xdr:from>
    <xdr:to>
      <xdr:col>12</xdr:col>
      <xdr:colOff>855568</xdr:colOff>
      <xdr:row>1</xdr:row>
      <xdr:rowOff>425263</xdr:rowOff>
    </xdr:to>
    <xdr:sp macro="[0]!SaveMain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0650632" y="111498"/>
          <a:ext cx="2060760" cy="403412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tIns="0" bIns="0" rtlCol="0" anchor="ctr"/>
        <a:lstStyle/>
        <a:p>
          <a:pPr algn="ctr"/>
          <a:r>
            <a:rPr lang="en-US" sz="1100"/>
            <a:t>Save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89646</xdr:colOff>
      <xdr:row>1</xdr:row>
      <xdr:rowOff>44824</xdr:rowOff>
    </xdr:from>
    <xdr:to>
      <xdr:col>15</xdr:col>
      <xdr:colOff>336176</xdr:colOff>
      <xdr:row>1</xdr:row>
      <xdr:rowOff>515471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9646" y="134471"/>
          <a:ext cx="11945471" cy="47064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 editAs="absolute">
    <xdr:from>
      <xdr:col>0</xdr:col>
      <xdr:colOff>313764</xdr:colOff>
      <xdr:row>1</xdr:row>
      <xdr:rowOff>78441</xdr:rowOff>
    </xdr:from>
    <xdr:to>
      <xdr:col>1</xdr:col>
      <xdr:colOff>784413</xdr:colOff>
      <xdr:row>1</xdr:row>
      <xdr:rowOff>437029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13764" y="168088"/>
          <a:ext cx="1524002" cy="3585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800" b="1" i="1">
              <a:solidFill>
                <a:schemeClr val="bg1"/>
              </a:solidFill>
            </a:rPr>
            <a:t>Control</a:t>
          </a:r>
          <a:r>
            <a:rPr lang="en-US" sz="1800" b="1" i="1" baseline="0">
              <a:solidFill>
                <a:schemeClr val="bg1"/>
              </a:solidFill>
            </a:rPr>
            <a:t> Panel</a:t>
          </a:r>
          <a:endParaRPr lang="en-US" sz="1800" b="1" i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</xdr:col>
      <xdr:colOff>773206</xdr:colOff>
      <xdr:row>1</xdr:row>
      <xdr:rowOff>123264</xdr:rowOff>
    </xdr:from>
    <xdr:to>
      <xdr:col>5</xdr:col>
      <xdr:colOff>459441</xdr:colOff>
      <xdr:row>1</xdr:row>
      <xdr:rowOff>425823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826559" y="212911"/>
          <a:ext cx="2958353" cy="302559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200" b="1"/>
            <a:t>Note: remember to ENABLE the macros.</a:t>
          </a:r>
        </a:p>
      </xdr:txBody>
    </xdr:sp>
    <xdr:clientData/>
  </xdr:twoCellAnchor>
  <xdr:twoCellAnchor editAs="absolute">
    <xdr:from>
      <xdr:col>6</xdr:col>
      <xdr:colOff>44825</xdr:colOff>
      <xdr:row>1</xdr:row>
      <xdr:rowOff>78441</xdr:rowOff>
    </xdr:from>
    <xdr:to>
      <xdr:col>9</xdr:col>
      <xdr:colOff>78441</xdr:colOff>
      <xdr:row>1</xdr:row>
      <xdr:rowOff>481853</xdr:rowOff>
    </xdr:to>
    <xdr:sp macro="[0]!DeleteAllImportedSheets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188325" y="168088"/>
          <a:ext cx="2061881" cy="403412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tIns="0" bIns="0" rtlCol="0" anchor="ctr"/>
        <a:lstStyle/>
        <a:p>
          <a:pPr algn="ctr"/>
          <a:r>
            <a:rPr lang="en-US" sz="1100"/>
            <a:t>CLEAR DATA </a:t>
          </a:r>
          <a:br>
            <a:rPr lang="en-US" sz="1100"/>
          </a:br>
          <a:r>
            <a:rPr lang="en-US" sz="1100"/>
            <a:t>(prepare for new month import)</a:t>
          </a:r>
        </a:p>
      </xdr:txBody>
    </xdr:sp>
    <xdr:clientData/>
  </xdr:twoCellAnchor>
  <xdr:twoCellAnchor editAs="absolute">
    <xdr:from>
      <xdr:col>10</xdr:col>
      <xdr:colOff>349062</xdr:colOff>
      <xdr:row>1</xdr:row>
      <xdr:rowOff>73959</xdr:rowOff>
    </xdr:from>
    <xdr:to>
      <xdr:col>11</xdr:col>
      <xdr:colOff>313765</xdr:colOff>
      <xdr:row>1</xdr:row>
      <xdr:rowOff>477371</xdr:rowOff>
    </xdr:to>
    <xdr:sp macro="[0]!ImportDataFromAllExcelFilesIntoSummarrySheet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812180" y="163606"/>
          <a:ext cx="1242173" cy="403412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tIns="0" bIns="0" rtlCol="0" anchor="ctr"/>
        <a:lstStyle/>
        <a:p>
          <a:pPr algn="ctr"/>
          <a:r>
            <a:rPr lang="en-US" sz="1100"/>
            <a:t>IMPORT DATA</a:t>
          </a:r>
          <a:br>
            <a:rPr lang="en-US" sz="1100"/>
          </a:br>
          <a:r>
            <a:rPr lang="en-US" sz="1100"/>
            <a:t>From</a:t>
          </a:r>
          <a:r>
            <a:rPr lang="en-US" sz="1100" baseline="0"/>
            <a:t> the banks</a:t>
          </a:r>
          <a:endParaRPr lang="en-US" sz="1100"/>
        </a:p>
      </xdr:txBody>
    </xdr:sp>
    <xdr:clientData/>
  </xdr:twoCellAnchor>
  <xdr:twoCellAnchor editAs="absolute">
    <xdr:from>
      <xdr:col>12</xdr:col>
      <xdr:colOff>112059</xdr:colOff>
      <xdr:row>1</xdr:row>
      <xdr:rowOff>78442</xdr:rowOff>
    </xdr:from>
    <xdr:to>
      <xdr:col>15</xdr:col>
      <xdr:colOff>257735</xdr:colOff>
      <xdr:row>1</xdr:row>
      <xdr:rowOff>481854</xdr:rowOff>
    </xdr:to>
    <xdr:sp macro="[0]!LoopThroughTablesAndFetchData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9592235" y="168089"/>
          <a:ext cx="2364441" cy="403412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tIns="0" bIns="0" rtlCol="0" anchor="ctr"/>
        <a:lstStyle/>
        <a:p>
          <a:pPr algn="ctr"/>
          <a:r>
            <a:rPr lang="en-US" sz="1100"/>
            <a:t>FETCH DATA</a:t>
          </a:r>
          <a:br>
            <a:rPr lang="en-US" sz="1100"/>
          </a:br>
          <a:r>
            <a:rPr lang="en-US" sz="1100"/>
            <a:t>into the Summary Sheet (this sheet)</a:t>
          </a:r>
        </a:p>
      </xdr:txBody>
    </xdr:sp>
    <xdr:clientData/>
  </xdr:twoCellAnchor>
  <xdr:twoCellAnchor editAs="absolute">
    <xdr:from>
      <xdr:col>5</xdr:col>
      <xdr:colOff>515469</xdr:colOff>
      <xdr:row>1</xdr:row>
      <xdr:rowOff>100853</xdr:rowOff>
    </xdr:from>
    <xdr:to>
      <xdr:col>6</xdr:col>
      <xdr:colOff>168087</xdr:colOff>
      <xdr:row>1</xdr:row>
      <xdr:rowOff>459441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4840940" y="190500"/>
          <a:ext cx="470647" cy="3585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800" b="1" i="0">
              <a:solidFill>
                <a:schemeClr val="bg1"/>
              </a:solidFill>
            </a:rPr>
            <a:t>1)</a:t>
          </a:r>
        </a:p>
      </xdr:txBody>
    </xdr:sp>
    <xdr:clientData/>
  </xdr:twoCellAnchor>
  <xdr:twoCellAnchor editAs="absolute">
    <xdr:from>
      <xdr:col>10</xdr:col>
      <xdr:colOff>17928</xdr:colOff>
      <xdr:row>1</xdr:row>
      <xdr:rowOff>107576</xdr:rowOff>
    </xdr:from>
    <xdr:to>
      <xdr:col>10</xdr:col>
      <xdr:colOff>493058</xdr:colOff>
      <xdr:row>1</xdr:row>
      <xdr:rowOff>466164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7481046" y="197223"/>
          <a:ext cx="475130" cy="3585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800" b="1" i="0">
              <a:solidFill>
                <a:schemeClr val="bg1"/>
              </a:solidFill>
            </a:rPr>
            <a:t>2)</a:t>
          </a:r>
        </a:p>
      </xdr:txBody>
    </xdr:sp>
    <xdr:clientData/>
  </xdr:twoCellAnchor>
  <xdr:twoCellAnchor editAs="absolute">
    <xdr:from>
      <xdr:col>11</xdr:col>
      <xdr:colOff>506506</xdr:colOff>
      <xdr:row>1</xdr:row>
      <xdr:rowOff>114300</xdr:rowOff>
    </xdr:from>
    <xdr:to>
      <xdr:col>12</xdr:col>
      <xdr:colOff>246530</xdr:colOff>
      <xdr:row>1</xdr:row>
      <xdr:rowOff>472888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9247094" y="203947"/>
          <a:ext cx="479612" cy="3585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800" b="1" i="0">
              <a:solidFill>
                <a:schemeClr val="bg1"/>
              </a:solidFill>
            </a:rPr>
            <a:t>3)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tsikdav\Desktop\Frequent%20Borrowers\David\Pricers\USD%20&amp;%20EUR%20Pricer%20(New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B315731\AppData\Local\Temp\notesD4A04D\USD%20&amp;%20EUR%20Pricer%20(New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rve"/>
      <sheetName val="Reuters Feed"/>
      <sheetName val="Eurobond $"/>
      <sheetName val="Global $"/>
      <sheetName val="Eurobond €"/>
      <sheetName val="Kanaga $ (2)"/>
    </sheetNames>
    <sheetDataSet>
      <sheetData sheetId="0" refreshError="1"/>
      <sheetData sheetId="1" refreshError="1">
        <row r="22">
          <cell r="Q22" t="str">
            <v>BKO 1.25% 12/2011</v>
          </cell>
          <cell r="R22" t="str">
            <v xml:space="preserve">BUND SCHATZ     </v>
          </cell>
          <cell r="S22">
            <v>1.25</v>
          </cell>
          <cell r="T22">
            <v>40893</v>
          </cell>
          <cell r="U22">
            <v>0.47500000000000003</v>
          </cell>
          <cell r="V22" t="str">
            <v>12/2011</v>
          </cell>
        </row>
        <row r="23">
          <cell r="Q23" t="str">
            <v>DBR 5% 1/2012</v>
          </cell>
          <cell r="R23" t="str">
            <v xml:space="preserve">BUND BRD        </v>
          </cell>
          <cell r="S23">
            <v>5</v>
          </cell>
          <cell r="T23">
            <v>40912</v>
          </cell>
          <cell r="U23">
            <v>0.45600000000000002</v>
          </cell>
          <cell r="V23" t="str">
            <v>1/2012</v>
          </cell>
        </row>
        <row r="24">
          <cell r="Q24" t="str">
            <v>BKO 1% 3/2012</v>
          </cell>
          <cell r="R24" t="str">
            <v xml:space="preserve">BUND SCHATZ     </v>
          </cell>
          <cell r="S24">
            <v>1</v>
          </cell>
          <cell r="T24">
            <v>40984</v>
          </cell>
          <cell r="U24">
            <v>0.51400000000000001</v>
          </cell>
          <cell r="V24" t="str">
            <v>3/2012</v>
          </cell>
        </row>
        <row r="25">
          <cell r="Q25" t="str">
            <v>OBL150 4% 4/2012</v>
          </cell>
          <cell r="R25" t="str">
            <v xml:space="preserve">BUND OBL S150   </v>
          </cell>
          <cell r="S25">
            <v>4</v>
          </cell>
          <cell r="T25">
            <v>41012</v>
          </cell>
          <cell r="U25">
            <v>0.47600000000000003</v>
          </cell>
          <cell r="V25" t="str">
            <v>4/2012</v>
          </cell>
        </row>
        <row r="26">
          <cell r="Q26" t="str">
            <v>BKO 0.75% 9/2012</v>
          </cell>
          <cell r="R26" t="str">
            <v xml:space="preserve">BUND SCHATZ     </v>
          </cell>
          <cell r="S26">
            <v>0.75</v>
          </cell>
          <cell r="T26">
            <v>41166</v>
          </cell>
          <cell r="U26">
            <v>0.60099999999999998</v>
          </cell>
          <cell r="V26" t="str">
            <v>9/2012</v>
          </cell>
        </row>
        <row r="27">
          <cell r="Q27" t="str">
            <v>OBL151 4.25% 10/2012</v>
          </cell>
          <cell r="R27" t="str">
            <v xml:space="preserve">BUND OBL S151   </v>
          </cell>
          <cell r="S27">
            <v>4.25</v>
          </cell>
          <cell r="T27">
            <v>41194</v>
          </cell>
          <cell r="U27">
            <v>0.58499999999999996</v>
          </cell>
          <cell r="V27" t="str">
            <v>10/2012</v>
          </cell>
        </row>
        <row r="28">
          <cell r="Q28" t="str">
            <v>DBR 4.5% 1/2013</v>
          </cell>
          <cell r="R28" t="str">
            <v xml:space="preserve">BUND BRD        </v>
          </cell>
          <cell r="S28">
            <v>4.5</v>
          </cell>
          <cell r="T28">
            <v>41278</v>
          </cell>
          <cell r="U28">
            <v>0.61699999999999999</v>
          </cell>
          <cell r="V28" t="str">
            <v>1/2013</v>
          </cell>
        </row>
        <row r="29">
          <cell r="Q29" t="str">
            <v>OBL152 3.5% 4/2013</v>
          </cell>
          <cell r="R29" t="str">
            <v xml:space="preserve">BUND OBL S152   </v>
          </cell>
          <cell r="S29">
            <v>3.5</v>
          </cell>
          <cell r="T29">
            <v>41376</v>
          </cell>
          <cell r="U29">
            <v>0.63200000000000001</v>
          </cell>
          <cell r="V29" t="str">
            <v>4/2013</v>
          </cell>
        </row>
        <row r="30">
          <cell r="Q30" t="str">
            <v>DBR 3.75% 7/2013</v>
          </cell>
          <cell r="R30" t="str">
            <v xml:space="preserve">BUND BRD        </v>
          </cell>
          <cell r="S30">
            <v>3.75</v>
          </cell>
          <cell r="T30">
            <v>41459</v>
          </cell>
          <cell r="U30">
            <v>0.71799999999999997</v>
          </cell>
          <cell r="V30" t="str">
            <v>7/2013</v>
          </cell>
        </row>
        <row r="31">
          <cell r="Q31" t="str">
            <v>OBL153 4% 10/2013</v>
          </cell>
          <cell r="R31" t="str">
            <v xml:space="preserve">BUND OBL S153   </v>
          </cell>
          <cell r="S31">
            <v>4</v>
          </cell>
          <cell r="T31">
            <v>41558</v>
          </cell>
          <cell r="U31">
            <v>0.76</v>
          </cell>
          <cell r="V31" t="str">
            <v>10/2013</v>
          </cell>
        </row>
        <row r="32">
          <cell r="Q32" t="str">
            <v>DBR 4.25% 1/2014</v>
          </cell>
          <cell r="R32" t="str">
            <v xml:space="preserve">BUND BRD        </v>
          </cell>
          <cell r="S32">
            <v>4.25</v>
          </cell>
          <cell r="T32">
            <v>41643</v>
          </cell>
          <cell r="U32">
            <v>0.84200000000000008</v>
          </cell>
          <cell r="V32" t="str">
            <v>1/2014</v>
          </cell>
        </row>
        <row r="33">
          <cell r="Q33" t="str">
            <v>OBL154 2.25% 4/2014</v>
          </cell>
          <cell r="R33" t="str">
            <v xml:space="preserve">BUND OBL S154   </v>
          </cell>
          <cell r="S33">
            <v>2.25</v>
          </cell>
          <cell r="T33">
            <v>41740</v>
          </cell>
          <cell r="U33">
            <v>0.84300000000000008</v>
          </cell>
          <cell r="V33" t="str">
            <v>4/2014</v>
          </cell>
        </row>
        <row r="34">
          <cell r="Q34" t="str">
            <v>DBR 4.25% 7/2014</v>
          </cell>
          <cell r="R34" t="str">
            <v xml:space="preserve">BUND BRD        </v>
          </cell>
          <cell r="S34">
            <v>4.25</v>
          </cell>
          <cell r="T34">
            <v>41824</v>
          </cell>
          <cell r="U34">
            <v>0.97899999999999998</v>
          </cell>
          <cell r="V34" t="str">
            <v>7/2014</v>
          </cell>
        </row>
        <row r="35">
          <cell r="Q35" t="str">
            <v>OBL155 2.5% 10/2014</v>
          </cell>
          <cell r="R35" t="str">
            <v xml:space="preserve">BUND OBL S155   </v>
          </cell>
          <cell r="S35">
            <v>2.5</v>
          </cell>
          <cell r="T35">
            <v>41922</v>
          </cell>
          <cell r="U35">
            <v>1.0229999999999999</v>
          </cell>
          <cell r="V35" t="str">
            <v>10/2014</v>
          </cell>
        </row>
        <row r="36">
          <cell r="Q36" t="str">
            <v>DBR 3.75% 1/2015</v>
          </cell>
          <cell r="R36" t="str">
            <v xml:space="preserve">BUND BRD        </v>
          </cell>
          <cell r="S36">
            <v>3.75</v>
          </cell>
          <cell r="T36">
            <v>42008</v>
          </cell>
          <cell r="U36">
            <v>1.123</v>
          </cell>
          <cell r="V36" t="str">
            <v>1/2015</v>
          </cell>
        </row>
        <row r="37">
          <cell r="Q37" t="str">
            <v>OBL156 2.5% 2/2015</v>
          </cell>
          <cell r="R37" t="str">
            <v xml:space="preserve">BUND OBL S156   </v>
          </cell>
          <cell r="S37">
            <v>2.5</v>
          </cell>
          <cell r="T37">
            <v>42062</v>
          </cell>
          <cell r="U37">
            <v>1.1520000000000001</v>
          </cell>
          <cell r="V37" t="str">
            <v>2/2015</v>
          </cell>
        </row>
        <row r="38">
          <cell r="Q38" t="str">
            <v>OBL157 2.25% 4/2015</v>
          </cell>
          <cell r="R38" t="str">
            <v xml:space="preserve">BUND OBL S157   </v>
          </cell>
          <cell r="S38">
            <v>2.25</v>
          </cell>
          <cell r="T38">
            <v>42104</v>
          </cell>
          <cell r="U38">
            <v>1.1930000000000001</v>
          </cell>
          <cell r="V38" t="str">
            <v>4/2015</v>
          </cell>
        </row>
        <row r="39">
          <cell r="Q39" t="str">
            <v>DBR 3.25% 7/2015</v>
          </cell>
          <cell r="R39" t="str">
            <v xml:space="preserve">BUND BRD        </v>
          </cell>
          <cell r="S39">
            <v>3.25</v>
          </cell>
          <cell r="T39">
            <v>42189</v>
          </cell>
          <cell r="U39">
            <v>1.268</v>
          </cell>
          <cell r="V39" t="str">
            <v>7/2015</v>
          </cell>
        </row>
        <row r="40">
          <cell r="Q40" t="str">
            <v>DBR 3.5% 1/2016</v>
          </cell>
          <cell r="R40" t="str">
            <v xml:space="preserve">BUND BRD.       </v>
          </cell>
          <cell r="S40">
            <v>3.5</v>
          </cell>
          <cell r="T40">
            <v>42373</v>
          </cell>
          <cell r="U40">
            <v>1.3960000000000001</v>
          </cell>
          <cell r="V40" t="str">
            <v>1/2016</v>
          </cell>
        </row>
        <row r="41">
          <cell r="Q41" t="str">
            <v>DBR 6% 6/2016</v>
          </cell>
          <cell r="R41" t="str">
            <v xml:space="preserve">BUND BRD        </v>
          </cell>
          <cell r="S41">
            <v>6</v>
          </cell>
          <cell r="T41">
            <v>42541</v>
          </cell>
          <cell r="U41">
            <v>1.5469999999999999</v>
          </cell>
          <cell r="V41" t="str">
            <v>6/2016</v>
          </cell>
        </row>
        <row r="42">
          <cell r="Q42" t="str">
            <v>DBR 4% 7/2016</v>
          </cell>
          <cell r="R42" t="str">
            <v xml:space="preserve">BUND BRD        </v>
          </cell>
          <cell r="S42">
            <v>4</v>
          </cell>
          <cell r="T42">
            <v>42555</v>
          </cell>
          <cell r="U42">
            <v>1.496</v>
          </cell>
          <cell r="V42" t="str">
            <v>7/2016</v>
          </cell>
        </row>
        <row r="43">
          <cell r="Q43" t="str">
            <v>DBR 5.625% 9/2016</v>
          </cell>
          <cell r="R43" t="str">
            <v xml:space="preserve">BUND BRD        </v>
          </cell>
          <cell r="S43">
            <v>5.6249999999999991</v>
          </cell>
          <cell r="T43">
            <v>42633</v>
          </cell>
          <cell r="U43">
            <v>1.7089999999999999</v>
          </cell>
          <cell r="V43" t="str">
            <v>9/2016</v>
          </cell>
        </row>
        <row r="44">
          <cell r="Q44" t="str">
            <v>DBR 3.75% 1/2017</v>
          </cell>
          <cell r="R44" t="str">
            <v xml:space="preserve">BUND BRD        </v>
          </cell>
          <cell r="S44">
            <v>3.75</v>
          </cell>
          <cell r="T44">
            <v>42739</v>
          </cell>
          <cell r="U44">
            <v>1.579</v>
          </cell>
          <cell r="V44" t="str">
            <v>1/2017</v>
          </cell>
        </row>
        <row r="45">
          <cell r="Q45" t="str">
            <v>DBR 4.25% 7/2017</v>
          </cell>
          <cell r="R45" t="str">
            <v xml:space="preserve">BUND BRD        </v>
          </cell>
          <cell r="S45">
            <v>4.25</v>
          </cell>
          <cell r="T45">
            <v>42920</v>
          </cell>
          <cell r="U45">
            <v>1.671</v>
          </cell>
          <cell r="V45" t="str">
            <v>7/2017</v>
          </cell>
        </row>
        <row r="46">
          <cell r="Q46" t="str">
            <v>DBR 4% 1/2018</v>
          </cell>
          <cell r="R46" t="str">
            <v xml:space="preserve">BUND BRD        </v>
          </cell>
          <cell r="S46">
            <v>4</v>
          </cell>
          <cell r="T46">
            <v>43104</v>
          </cell>
          <cell r="U46">
            <v>1.7769999999999999</v>
          </cell>
          <cell r="V46" t="str">
            <v>1/2018</v>
          </cell>
        </row>
        <row r="47">
          <cell r="Q47" t="str">
            <v>DBR 4.25% 7/2018</v>
          </cell>
          <cell r="R47" t="str">
            <v xml:space="preserve">BUND BRD        </v>
          </cell>
          <cell r="S47">
            <v>4.25</v>
          </cell>
          <cell r="T47">
            <v>43285</v>
          </cell>
          <cell r="U47">
            <v>1.8520000000000001</v>
          </cell>
          <cell r="V47" t="str">
            <v>7/2018</v>
          </cell>
        </row>
        <row r="48">
          <cell r="Q48" t="str">
            <v>DBR 3.75% 1/2019</v>
          </cell>
          <cell r="R48" t="str">
            <v xml:space="preserve">BUND BRD        </v>
          </cell>
          <cell r="S48">
            <v>3.75</v>
          </cell>
          <cell r="T48">
            <v>43469</v>
          </cell>
          <cell r="U48">
            <v>1.9309999999999998</v>
          </cell>
          <cell r="V48" t="str">
            <v>1/2019</v>
          </cell>
        </row>
        <row r="49">
          <cell r="Q49" t="str">
            <v>DBR 3.5% 7/2019</v>
          </cell>
          <cell r="R49" t="str">
            <v xml:space="preserve">BUND BRD        </v>
          </cell>
          <cell r="S49">
            <v>3.5</v>
          </cell>
          <cell r="T49">
            <v>43650</v>
          </cell>
          <cell r="U49">
            <v>1.9989999999999999</v>
          </cell>
          <cell r="V49" t="str">
            <v>7/2019</v>
          </cell>
        </row>
        <row r="50">
          <cell r="Q50" t="str">
            <v>DBR 3.25% 1/2020</v>
          </cell>
          <cell r="R50" t="str">
            <v xml:space="preserve">BUND BRD        </v>
          </cell>
          <cell r="S50">
            <v>3.25</v>
          </cell>
          <cell r="T50">
            <v>43834</v>
          </cell>
          <cell r="U50">
            <v>2.0379999999999998</v>
          </cell>
          <cell r="V50" t="str">
            <v>1/2020</v>
          </cell>
        </row>
        <row r="51">
          <cell r="Q51" t="str">
            <v>DBR 3% 7/2020</v>
          </cell>
          <cell r="R51" t="str">
            <v xml:space="preserve">BUND BRD        </v>
          </cell>
          <cell r="S51">
            <v>3</v>
          </cell>
          <cell r="T51">
            <v>44016</v>
          </cell>
          <cell r="U51">
            <v>2.081</v>
          </cell>
          <cell r="V51" t="str">
            <v>7/2020</v>
          </cell>
        </row>
        <row r="52">
          <cell r="Q52" t="str">
            <v>DBR 2.25% 9/2020</v>
          </cell>
          <cell r="R52" t="str">
            <v xml:space="preserve">BUND BRD        </v>
          </cell>
          <cell r="S52">
            <v>2.25</v>
          </cell>
          <cell r="T52">
            <v>44078</v>
          </cell>
          <cell r="U52">
            <v>2.101</v>
          </cell>
          <cell r="V52" t="str">
            <v>9/2020</v>
          </cell>
        </row>
        <row r="53">
          <cell r="Q53" t="str">
            <v>DBR 6.25% 1/2024</v>
          </cell>
          <cell r="R53" t="str">
            <v xml:space="preserve">BUND BRD        </v>
          </cell>
          <cell r="S53">
            <v>6.25</v>
          </cell>
          <cell r="T53">
            <v>45295</v>
          </cell>
          <cell r="U53">
            <v>2.3219999999999996</v>
          </cell>
          <cell r="V53" t="str">
            <v>1/2024</v>
          </cell>
        </row>
        <row r="54">
          <cell r="Q54" t="str">
            <v>DBR 6.5% 7/2027</v>
          </cell>
          <cell r="R54" t="str">
            <v xml:space="preserve">BUND BRD        </v>
          </cell>
          <cell r="S54">
            <v>6.5</v>
          </cell>
          <cell r="T54">
            <v>46572</v>
          </cell>
          <cell r="U54">
            <v>2.5319999999999996</v>
          </cell>
          <cell r="V54" t="str">
            <v>7/2027</v>
          </cell>
        </row>
        <row r="55">
          <cell r="Q55" t="str">
            <v>DBR 5.625% 1/2028</v>
          </cell>
          <cell r="R55" t="str">
            <v xml:space="preserve">BUND BRD        </v>
          </cell>
          <cell r="S55">
            <v>5.6249999999999991</v>
          </cell>
          <cell r="T55">
            <v>46756</v>
          </cell>
          <cell r="U55">
            <v>2.6</v>
          </cell>
          <cell r="V55" t="str">
            <v>1/2028</v>
          </cell>
        </row>
        <row r="56">
          <cell r="Q56" t="str">
            <v>DBR 4.75% 7/2028</v>
          </cell>
          <cell r="R56" t="str">
            <v xml:space="preserve">BUND BRD        </v>
          </cell>
          <cell r="S56">
            <v>4.75</v>
          </cell>
          <cell r="T56">
            <v>46938</v>
          </cell>
          <cell r="U56">
            <v>2.6</v>
          </cell>
          <cell r="V56" t="str">
            <v>7/2028</v>
          </cell>
        </row>
        <row r="57">
          <cell r="Q57" t="str">
            <v>DBR 6.25% 1/2030</v>
          </cell>
          <cell r="R57" t="str">
            <v xml:space="preserve">BUND BRD        </v>
          </cell>
          <cell r="S57">
            <v>6.25</v>
          </cell>
          <cell r="T57">
            <v>47487</v>
          </cell>
          <cell r="U57">
            <v>2.6179999999999999</v>
          </cell>
          <cell r="V57" t="str">
            <v>1/2030</v>
          </cell>
        </row>
        <row r="58">
          <cell r="Q58" t="str">
            <v>DBR 5.5% 1/2031</v>
          </cell>
          <cell r="R58" t="str">
            <v xml:space="preserve">BUND BRD        </v>
          </cell>
          <cell r="S58">
            <v>5.5</v>
          </cell>
          <cell r="T58">
            <v>47852</v>
          </cell>
          <cell r="U58">
            <v>2.6759999999999997</v>
          </cell>
          <cell r="V58" t="str">
            <v>1/2031</v>
          </cell>
        </row>
        <row r="59">
          <cell r="Q59" t="str">
            <v>DBR 4.75% 7/2034</v>
          </cell>
          <cell r="R59" t="str">
            <v xml:space="preserve">BUND BRD        </v>
          </cell>
          <cell r="S59">
            <v>4.75</v>
          </cell>
          <cell r="T59">
            <v>49129</v>
          </cell>
          <cell r="U59">
            <v>2.6850000000000001</v>
          </cell>
          <cell r="V59" t="str">
            <v>7/2034</v>
          </cell>
        </row>
        <row r="60">
          <cell r="Q60" t="str">
            <v>DBR 4% 1/2037</v>
          </cell>
          <cell r="R60" t="str">
            <v xml:space="preserve">BUND BRD        </v>
          </cell>
          <cell r="S60">
            <v>4</v>
          </cell>
          <cell r="T60">
            <v>50044</v>
          </cell>
          <cell r="U60">
            <v>2.68</v>
          </cell>
          <cell r="V60" t="str">
            <v>1/2037</v>
          </cell>
        </row>
        <row r="61">
          <cell r="Q61" t="str">
            <v>DBR 4.25% 7/2039</v>
          </cell>
          <cell r="R61" t="str">
            <v xml:space="preserve">BUND BRD        </v>
          </cell>
          <cell r="S61">
            <v>4.25</v>
          </cell>
          <cell r="T61">
            <v>50955</v>
          </cell>
          <cell r="U61">
            <v>2.6349999999999998</v>
          </cell>
          <cell r="V61" t="str">
            <v>7/2039</v>
          </cell>
        </row>
        <row r="62">
          <cell r="Q62" t="str">
            <v>DBR 4.75% 7/2040</v>
          </cell>
          <cell r="R62" t="str">
            <v xml:space="preserve">BUND BRD        </v>
          </cell>
          <cell r="S62">
            <v>4.75</v>
          </cell>
          <cell r="T62">
            <v>51321</v>
          </cell>
          <cell r="U62">
            <v>2.6430000000000002</v>
          </cell>
          <cell r="V62" t="str">
            <v>7/2040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rve"/>
      <sheetName val="Reuters Feed"/>
      <sheetName val="Eurobond $"/>
      <sheetName val="Global $"/>
      <sheetName val="Eurobond €"/>
      <sheetName val="Kanaga $ (2)"/>
    </sheetNames>
    <sheetDataSet>
      <sheetData sheetId="0"/>
      <sheetData sheetId="1">
        <row r="22">
          <cell r="Q22" t="str">
            <v>BKO 1.25% 12/2011</v>
          </cell>
          <cell r="R22" t="str">
            <v xml:space="preserve">BUND SCHATZ     </v>
          </cell>
          <cell r="S22">
            <v>1.25</v>
          </cell>
          <cell r="T22">
            <v>40893</v>
          </cell>
          <cell r="U22">
            <v>0.67499999999999993</v>
          </cell>
          <cell r="V22" t="str">
            <v>12/2011</v>
          </cell>
        </row>
        <row r="23">
          <cell r="Q23" t="str">
            <v>DBR 5% 1/2012</v>
          </cell>
          <cell r="R23" t="str">
            <v xml:space="preserve">BUND BRD        </v>
          </cell>
          <cell r="S23">
            <v>5</v>
          </cell>
          <cell r="T23">
            <v>40912</v>
          </cell>
          <cell r="U23">
            <v>0.68399999999999994</v>
          </cell>
          <cell r="V23" t="str">
            <v>1/2012</v>
          </cell>
        </row>
        <row r="24">
          <cell r="Q24" t="str">
            <v>BKO 1% 3/2012</v>
          </cell>
          <cell r="R24" t="str">
            <v xml:space="preserve">BUND SCHATZ     </v>
          </cell>
          <cell r="S24">
            <v>1</v>
          </cell>
          <cell r="T24">
            <v>40984</v>
          </cell>
          <cell r="U24">
            <v>0.73699999999999999</v>
          </cell>
          <cell r="V24" t="str">
            <v>3/2012</v>
          </cell>
        </row>
        <row r="25">
          <cell r="Q25" t="str">
            <v>OBL150 4% 4/2012</v>
          </cell>
          <cell r="R25" t="str">
            <v xml:space="preserve">BUND OBL S150   </v>
          </cell>
          <cell r="S25">
            <v>4</v>
          </cell>
          <cell r="T25">
            <v>41012</v>
          </cell>
          <cell r="U25">
            <v>0.72099999999999997</v>
          </cell>
          <cell r="V25" t="str">
            <v>4/2012</v>
          </cell>
        </row>
        <row r="26">
          <cell r="Q26" t="str">
            <v>DBR 5% 7/2012</v>
          </cell>
          <cell r="R26" t="str">
            <v xml:space="preserve">BUND BRD        </v>
          </cell>
          <cell r="S26">
            <v>5</v>
          </cell>
          <cell r="T26">
            <v>41094</v>
          </cell>
          <cell r="U26">
            <v>0.84400000000000008</v>
          </cell>
          <cell r="V26" t="str">
            <v>7/2012</v>
          </cell>
        </row>
        <row r="27">
          <cell r="Q27" t="str">
            <v>OBL151 4.25% 10/2012</v>
          </cell>
          <cell r="R27" t="str">
            <v xml:space="preserve">BUND OBL S151   </v>
          </cell>
          <cell r="S27">
            <v>4.25</v>
          </cell>
          <cell r="T27">
            <v>41194</v>
          </cell>
          <cell r="U27">
            <v>0.88900000000000001</v>
          </cell>
          <cell r="V27" t="str">
            <v>10/2012</v>
          </cell>
        </row>
        <row r="28">
          <cell r="Q28" t="str">
            <v>DBR 4.5% 1/2013</v>
          </cell>
          <cell r="R28" t="str">
            <v xml:space="preserve">BUND BRD        </v>
          </cell>
          <cell r="S28">
            <v>4.5</v>
          </cell>
          <cell r="T28">
            <v>41278</v>
          </cell>
          <cell r="U28">
            <v>0.92200000000000004</v>
          </cell>
          <cell r="V28" t="str">
            <v>1/2013</v>
          </cell>
        </row>
        <row r="29">
          <cell r="Q29" t="str">
            <v>OBL152 3.5% 4/2013</v>
          </cell>
          <cell r="R29" t="str">
            <v xml:space="preserve">BUND OBL S152   </v>
          </cell>
          <cell r="S29">
            <v>3.5</v>
          </cell>
          <cell r="T29">
            <v>41376</v>
          </cell>
          <cell r="U29">
            <v>0.95100000000000007</v>
          </cell>
          <cell r="V29" t="str">
            <v>4/2013</v>
          </cell>
        </row>
        <row r="30">
          <cell r="Q30" t="str">
            <v>DBR 3.75% 7/2013</v>
          </cell>
          <cell r="R30" t="str">
            <v xml:space="preserve">BUND BRD        </v>
          </cell>
          <cell r="S30">
            <v>3.75</v>
          </cell>
          <cell r="T30">
            <v>41459</v>
          </cell>
          <cell r="U30">
            <v>1.05</v>
          </cell>
          <cell r="V30" t="str">
            <v>7/2013</v>
          </cell>
        </row>
        <row r="31">
          <cell r="Q31" t="str">
            <v>OBL153 4% 10/2013</v>
          </cell>
          <cell r="R31" t="str">
            <v xml:space="preserve">BUND OBL S153   </v>
          </cell>
          <cell r="S31">
            <v>4</v>
          </cell>
          <cell r="T31">
            <v>41558</v>
          </cell>
          <cell r="U31">
            <v>1.115</v>
          </cell>
          <cell r="V31" t="str">
            <v>10/2013</v>
          </cell>
        </row>
        <row r="32">
          <cell r="Q32" t="str">
            <v>DBR 4.25% 1/2014</v>
          </cell>
          <cell r="R32" t="str">
            <v xml:space="preserve">BUND BRD        </v>
          </cell>
          <cell r="S32">
            <v>4.25</v>
          </cell>
          <cell r="T32">
            <v>41643</v>
          </cell>
          <cell r="U32">
            <v>1.214</v>
          </cell>
          <cell r="V32" t="str">
            <v>1/2014</v>
          </cell>
        </row>
        <row r="33">
          <cell r="Q33" t="str">
            <v>OBL154 2.25% 4/2014</v>
          </cell>
          <cell r="R33" t="str">
            <v xml:space="preserve">BUND OBL S154   </v>
          </cell>
          <cell r="S33">
            <v>2.25</v>
          </cell>
          <cell r="T33">
            <v>41740</v>
          </cell>
          <cell r="U33">
            <v>1.218</v>
          </cell>
          <cell r="V33" t="str">
            <v>4/2014</v>
          </cell>
        </row>
        <row r="34">
          <cell r="Q34" t="str">
            <v>DBR 4.25% 7/2014</v>
          </cell>
          <cell r="R34" t="str">
            <v xml:space="preserve">BUND BRD        </v>
          </cell>
          <cell r="S34">
            <v>4.25</v>
          </cell>
          <cell r="T34">
            <v>41824</v>
          </cell>
          <cell r="U34">
            <v>1.3960000000000001</v>
          </cell>
          <cell r="V34" t="str">
            <v>7/2014</v>
          </cell>
        </row>
        <row r="35">
          <cell r="Q35" t="str">
            <v>OBL155 2.5% 10/2014</v>
          </cell>
          <cell r="R35" t="str">
            <v xml:space="preserve">BUND OBL S155   </v>
          </cell>
          <cell r="S35">
            <v>2.5</v>
          </cell>
          <cell r="T35">
            <v>41922</v>
          </cell>
          <cell r="U35">
            <v>1.4869999999999999</v>
          </cell>
          <cell r="V35" t="str">
            <v>10/2014</v>
          </cell>
        </row>
        <row r="36">
          <cell r="Q36" t="str">
            <v>DBR 3.75% 1/2015</v>
          </cell>
          <cell r="R36" t="str">
            <v xml:space="preserve">BUND BRD        </v>
          </cell>
          <cell r="S36">
            <v>3.75</v>
          </cell>
          <cell r="T36">
            <v>42008</v>
          </cell>
          <cell r="U36">
            <v>1.605</v>
          </cell>
          <cell r="V36" t="str">
            <v>1/2015</v>
          </cell>
        </row>
        <row r="37">
          <cell r="Q37" t="str">
            <v>OBL156 2.5% 2/2015</v>
          </cell>
          <cell r="R37" t="str">
            <v xml:space="preserve">BUND OBL S156   </v>
          </cell>
          <cell r="S37">
            <v>2.5</v>
          </cell>
          <cell r="T37">
            <v>42062</v>
          </cell>
          <cell r="U37">
            <v>1.6520000000000001</v>
          </cell>
          <cell r="V37" t="str">
            <v>2/2015</v>
          </cell>
        </row>
        <row r="38">
          <cell r="Q38" t="str">
            <v>OBL157 2.25% 4/2015</v>
          </cell>
          <cell r="R38" t="str">
            <v xml:space="preserve">BUND OBL S157   </v>
          </cell>
          <cell r="S38">
            <v>2.25</v>
          </cell>
          <cell r="T38">
            <v>42104</v>
          </cell>
          <cell r="U38">
            <v>1.6900000000000002</v>
          </cell>
          <cell r="V38" t="str">
            <v>4/2015</v>
          </cell>
        </row>
        <row r="39">
          <cell r="Q39" t="str">
            <v>DBR 3.25% 7/2015</v>
          </cell>
          <cell r="R39" t="str">
            <v xml:space="preserve">BUND BRD        </v>
          </cell>
          <cell r="S39">
            <v>3.25</v>
          </cell>
          <cell r="T39">
            <v>42189</v>
          </cell>
          <cell r="U39">
            <v>1.766</v>
          </cell>
          <cell r="V39" t="str">
            <v>7/2015</v>
          </cell>
        </row>
        <row r="40">
          <cell r="Q40" t="str">
            <v>DBR 3.5% 1/2016</v>
          </cell>
          <cell r="R40" t="str">
            <v xml:space="preserve">BUND BRD.       </v>
          </cell>
          <cell r="S40">
            <v>3.5</v>
          </cell>
          <cell r="T40">
            <v>42373</v>
          </cell>
          <cell r="U40">
            <v>1.9059999999999999</v>
          </cell>
          <cell r="V40" t="str">
            <v>1/2016</v>
          </cell>
        </row>
        <row r="41">
          <cell r="Q41" t="str">
            <v>DBR 6% 6/2016</v>
          </cell>
          <cell r="R41" t="str">
            <v xml:space="preserve">BUND BRD        </v>
          </cell>
          <cell r="S41">
            <v>6</v>
          </cell>
          <cell r="T41">
            <v>42541</v>
          </cell>
          <cell r="U41">
            <v>2.0509999999999997</v>
          </cell>
          <cell r="V41" t="str">
            <v>6/2016</v>
          </cell>
        </row>
        <row r="42">
          <cell r="Q42" t="str">
            <v>DBR 4% 7/2016</v>
          </cell>
          <cell r="R42" t="str">
            <v xml:space="preserve">BUND BRD        </v>
          </cell>
          <cell r="S42">
            <v>4</v>
          </cell>
          <cell r="T42">
            <v>42555</v>
          </cell>
          <cell r="U42">
            <v>2.0099999999999998</v>
          </cell>
          <cell r="V42" t="str">
            <v>7/2016</v>
          </cell>
        </row>
        <row r="43">
          <cell r="Q43" t="str">
            <v>DBR 5.625% 9/2016</v>
          </cell>
          <cell r="R43" t="str">
            <v xml:space="preserve">BUND BRD        </v>
          </cell>
          <cell r="S43">
            <v>5.6249999999999991</v>
          </cell>
          <cell r="T43">
            <v>42633</v>
          </cell>
          <cell r="U43">
            <v>2.1719999999999997</v>
          </cell>
          <cell r="V43" t="str">
            <v>9/2016</v>
          </cell>
        </row>
        <row r="44">
          <cell r="Q44" t="str">
            <v>DBR 3.75% 1/2017</v>
          </cell>
          <cell r="R44" t="str">
            <v xml:space="preserve">BUND BRD        </v>
          </cell>
          <cell r="S44">
            <v>3.75</v>
          </cell>
          <cell r="T44">
            <v>42739</v>
          </cell>
          <cell r="U44">
            <v>2.1339999999999999</v>
          </cell>
          <cell r="V44" t="str">
            <v>1/2017</v>
          </cell>
        </row>
        <row r="45">
          <cell r="Q45" t="str">
            <v>DBR 4.25% 7/2017</v>
          </cell>
          <cell r="R45" t="str">
            <v xml:space="preserve">BUND BRD        </v>
          </cell>
          <cell r="S45">
            <v>4.25</v>
          </cell>
          <cell r="T45">
            <v>42920</v>
          </cell>
          <cell r="U45">
            <v>2.25</v>
          </cell>
          <cell r="V45" t="str">
            <v>7/2017</v>
          </cell>
        </row>
        <row r="46">
          <cell r="Q46" t="str">
            <v>DBR 4% 1/2018</v>
          </cell>
          <cell r="R46" t="str">
            <v xml:space="preserve">BUND BRD        </v>
          </cell>
          <cell r="S46">
            <v>4</v>
          </cell>
          <cell r="T46">
            <v>43104</v>
          </cell>
          <cell r="U46">
            <v>2.3589999999999995</v>
          </cell>
          <cell r="V46" t="str">
            <v>1/2018</v>
          </cell>
        </row>
        <row r="47">
          <cell r="Q47" t="str">
            <v>DBR 4.25% 7/2018</v>
          </cell>
          <cell r="R47" t="str">
            <v xml:space="preserve">BUND BRD        </v>
          </cell>
          <cell r="S47">
            <v>4.25</v>
          </cell>
          <cell r="T47">
            <v>43285</v>
          </cell>
          <cell r="U47">
            <v>2.4449999999999998</v>
          </cell>
          <cell r="V47" t="str">
            <v>7/2018</v>
          </cell>
        </row>
        <row r="48">
          <cell r="Q48" t="str">
            <v>DBR 3.75% 1/2019</v>
          </cell>
          <cell r="R48" t="str">
            <v xml:space="preserve">BUND BRD        </v>
          </cell>
          <cell r="S48">
            <v>3.75</v>
          </cell>
          <cell r="T48">
            <v>43469</v>
          </cell>
          <cell r="U48">
            <v>2.5289999999999999</v>
          </cell>
          <cell r="V48" t="str">
            <v>1/2019</v>
          </cell>
        </row>
        <row r="49">
          <cell r="Q49" t="str">
            <v>DBR 3.5% 7/2019</v>
          </cell>
          <cell r="R49" t="str">
            <v xml:space="preserve">BUND BRD        </v>
          </cell>
          <cell r="S49">
            <v>3.5</v>
          </cell>
          <cell r="T49">
            <v>43650</v>
          </cell>
          <cell r="U49">
            <v>2.5949999999999998</v>
          </cell>
          <cell r="V49" t="str">
            <v>7/2019</v>
          </cell>
        </row>
        <row r="50">
          <cell r="Q50" t="str">
            <v>DBR 3.25% 1/2020</v>
          </cell>
          <cell r="R50" t="str">
            <v xml:space="preserve">BUND BRD        </v>
          </cell>
          <cell r="S50">
            <v>3.25</v>
          </cell>
          <cell r="T50">
            <v>43834</v>
          </cell>
          <cell r="U50">
            <v>2.6389999999999998</v>
          </cell>
          <cell r="V50" t="str">
            <v>1/2020</v>
          </cell>
        </row>
        <row r="51">
          <cell r="Q51" t="str">
            <v>DBR 3% 7/2020</v>
          </cell>
          <cell r="R51" t="str">
            <v xml:space="preserve">BUND BRD        </v>
          </cell>
          <cell r="S51">
            <v>3</v>
          </cell>
          <cell r="T51">
            <v>44016</v>
          </cell>
          <cell r="U51">
            <v>2.6959999999999997</v>
          </cell>
          <cell r="V51" t="str">
            <v>7/2020</v>
          </cell>
        </row>
        <row r="52">
          <cell r="Q52" t="str">
            <v>DBR 6.25% 1/2024</v>
          </cell>
          <cell r="R52" t="str">
            <v xml:space="preserve">BUND BRD        </v>
          </cell>
          <cell r="S52">
            <v>6.25</v>
          </cell>
          <cell r="T52">
            <v>45295</v>
          </cell>
          <cell r="U52">
            <v>2.9849999999999999</v>
          </cell>
          <cell r="V52" t="str">
            <v>1/2024</v>
          </cell>
        </row>
        <row r="53">
          <cell r="Q53" t="str">
            <v>DBR 6.5% 7/2027</v>
          </cell>
          <cell r="R53" t="str">
            <v xml:space="preserve">BUND BRD        </v>
          </cell>
          <cell r="S53">
            <v>6.5</v>
          </cell>
          <cell r="T53">
            <v>46572</v>
          </cell>
          <cell r="U53">
            <v>3.2519999999999998</v>
          </cell>
          <cell r="V53" t="str">
            <v>7/2027</v>
          </cell>
        </row>
        <row r="54">
          <cell r="Q54" t="str">
            <v>DBR 5.625% 1/2028</v>
          </cell>
          <cell r="R54" t="str">
            <v xml:space="preserve">BUND BRD        </v>
          </cell>
          <cell r="S54">
            <v>5.6249999999999991</v>
          </cell>
          <cell r="T54">
            <v>46756</v>
          </cell>
          <cell r="U54">
            <v>3.3049999999999997</v>
          </cell>
          <cell r="V54" t="str">
            <v>1/2028</v>
          </cell>
        </row>
        <row r="55">
          <cell r="Q55" t="str">
            <v>DBR 4.75% 7/2028</v>
          </cell>
          <cell r="R55" t="str">
            <v xml:space="preserve">BUND BRD        </v>
          </cell>
          <cell r="S55">
            <v>4.75</v>
          </cell>
          <cell r="T55">
            <v>46938</v>
          </cell>
          <cell r="U55">
            <v>3.3119999999999994</v>
          </cell>
          <cell r="V55" t="str">
            <v>7/2028</v>
          </cell>
        </row>
        <row r="56">
          <cell r="Q56" t="str">
            <v>DBR 6.25% 1/2030</v>
          </cell>
          <cell r="R56" t="str">
            <v xml:space="preserve">BUND BRD        </v>
          </cell>
          <cell r="S56">
            <v>6.25</v>
          </cell>
          <cell r="T56">
            <v>47487</v>
          </cell>
          <cell r="U56">
            <v>3.347</v>
          </cell>
          <cell r="V56" t="str">
            <v>1/2030</v>
          </cell>
        </row>
        <row r="57">
          <cell r="Q57" t="str">
            <v>DBR 5.5% 1/2031</v>
          </cell>
          <cell r="R57" t="str">
            <v xml:space="preserve">BUND BRD        </v>
          </cell>
          <cell r="S57">
            <v>5.5</v>
          </cell>
          <cell r="T57">
            <v>47852</v>
          </cell>
          <cell r="U57">
            <v>3.3889999999999998</v>
          </cell>
          <cell r="V57" t="str">
            <v>1/2031</v>
          </cell>
        </row>
        <row r="58">
          <cell r="Q58" t="str">
            <v>DBR 4.75% 7/2034</v>
          </cell>
          <cell r="R58" t="str">
            <v xml:space="preserve">BUND BRD        </v>
          </cell>
          <cell r="S58">
            <v>4.75</v>
          </cell>
          <cell r="T58">
            <v>49129</v>
          </cell>
          <cell r="U58">
            <v>3.4159999999999995</v>
          </cell>
          <cell r="V58" t="str">
            <v>7/2034</v>
          </cell>
        </row>
        <row r="59">
          <cell r="Q59" t="str">
            <v>DBR 4% 1/2037</v>
          </cell>
          <cell r="R59" t="str">
            <v xml:space="preserve">BUND BRD        </v>
          </cell>
          <cell r="S59">
            <v>4</v>
          </cell>
          <cell r="T59">
            <v>50044</v>
          </cell>
          <cell r="U59">
            <v>3.4049999999999998</v>
          </cell>
          <cell r="V59" t="str">
            <v>1/2037</v>
          </cell>
        </row>
        <row r="60">
          <cell r="Q60" t="str">
            <v>DBR 4.25% 7/2039</v>
          </cell>
          <cell r="R60" t="str">
            <v xml:space="preserve">BUND BRD        </v>
          </cell>
          <cell r="S60">
            <v>4.25</v>
          </cell>
          <cell r="T60">
            <v>50955</v>
          </cell>
          <cell r="U60">
            <v>3.3989999999999996</v>
          </cell>
          <cell r="V60" t="str">
            <v>7/2039</v>
          </cell>
        </row>
        <row r="61">
          <cell r="Q61" t="str">
            <v>DBR 4.75% 7/2040</v>
          </cell>
          <cell r="R61" t="str">
            <v xml:space="preserve">BUND BRD        </v>
          </cell>
          <cell r="S61">
            <v>4.75</v>
          </cell>
          <cell r="T61">
            <v>51321</v>
          </cell>
          <cell r="U61">
            <v>3.4089999999999998</v>
          </cell>
          <cell r="V61" t="str">
            <v>7/2040</v>
          </cell>
        </row>
      </sheetData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1203"/>
  <sheetViews>
    <sheetView tabSelected="1" topLeftCell="A31" zoomScale="85" zoomScaleNormal="85" workbookViewId="0">
      <selection activeCell="B54" sqref="B54"/>
    </sheetView>
  </sheetViews>
  <sheetFormatPr defaultColWidth="9.140625" defaultRowHeight="15.75"/>
  <cols>
    <col min="1" max="1" width="25.5703125" style="3" customWidth="1"/>
    <col min="2" max="6" width="14.7109375" style="3" customWidth="1"/>
    <col min="7" max="9" width="14.7109375" style="6" customWidth="1"/>
    <col min="10" max="10" width="4.28515625" style="6" customWidth="1"/>
    <col min="11" max="19" width="14.7109375" style="6" customWidth="1"/>
    <col min="20" max="16384" width="9.140625" style="3"/>
  </cols>
  <sheetData>
    <row r="1" spans="1:25" ht="6.75" customHeight="1">
      <c r="B1" s="22"/>
      <c r="C1" s="22"/>
      <c r="D1" s="22"/>
      <c r="E1" s="22"/>
      <c r="F1" s="22"/>
      <c r="L1" s="22"/>
      <c r="M1" s="22"/>
      <c r="N1" s="22"/>
      <c r="O1" s="22"/>
      <c r="P1" s="22"/>
    </row>
    <row r="2" spans="1:25" ht="45" customHeight="1"/>
    <row r="3" spans="1:25" ht="19.5" customHeight="1">
      <c r="A3" s="64"/>
      <c r="C3" s="3" t="s">
        <v>19</v>
      </c>
      <c r="D3" s="3" t="s">
        <v>64</v>
      </c>
    </row>
    <row r="4" spans="1:25" ht="29.25" customHeight="1">
      <c r="A4" s="66" t="s">
        <v>55</v>
      </c>
      <c r="C4" s="65">
        <f ca="1">TODAY()</f>
        <v>43159</v>
      </c>
      <c r="G4" s="4"/>
      <c r="H4" s="4"/>
      <c r="I4" s="4"/>
      <c r="J4" s="4"/>
      <c r="K4" s="4"/>
      <c r="L4" s="4"/>
      <c r="M4" s="5"/>
      <c r="N4" s="4"/>
      <c r="O4" s="4"/>
      <c r="P4" s="4"/>
      <c r="Q4" s="4"/>
      <c r="R4" s="4"/>
      <c r="S4" s="4"/>
      <c r="T4" s="4"/>
      <c r="U4" s="4"/>
    </row>
    <row r="5" spans="1:25" s="6" customFormat="1">
      <c r="A5" s="3"/>
      <c r="B5" s="3"/>
      <c r="C5" s="3"/>
      <c r="D5" s="3"/>
      <c r="E5" s="3"/>
      <c r="F5" s="3"/>
      <c r="G5" s="4"/>
      <c r="H5" s="4"/>
      <c r="I5" s="4"/>
      <c r="J5" s="4"/>
    </row>
    <row r="6" spans="1:25" s="6" customFormat="1">
      <c r="A6" s="7" t="s">
        <v>0</v>
      </c>
      <c r="B6" s="4"/>
      <c r="C6" s="4"/>
      <c r="K6" s="7" t="s">
        <v>0</v>
      </c>
      <c r="L6" s="3"/>
      <c r="M6" s="3"/>
      <c r="N6" s="3"/>
      <c r="O6" s="3"/>
      <c r="P6" s="3"/>
      <c r="R6" s="4"/>
      <c r="S6" s="15"/>
    </row>
    <row r="7" spans="1:25" s="6" customFormat="1">
      <c r="A7" s="1" t="s">
        <v>12</v>
      </c>
      <c r="B7" s="3"/>
      <c r="C7" s="3"/>
      <c r="D7" s="3"/>
      <c r="E7" s="3"/>
      <c r="F7" s="3"/>
      <c r="K7" s="1" t="s">
        <v>13</v>
      </c>
      <c r="L7" s="3"/>
      <c r="M7" s="3"/>
      <c r="N7" s="3"/>
      <c r="O7" s="3"/>
      <c r="P7" s="3"/>
      <c r="R7" s="4"/>
      <c r="S7" s="15"/>
    </row>
    <row r="8" spans="1:25" s="6" customFormat="1" ht="16.5" thickBot="1">
      <c r="A8" s="3"/>
      <c r="B8" s="8" t="s">
        <v>1</v>
      </c>
      <c r="C8" s="8" t="s">
        <v>2</v>
      </c>
      <c r="D8" s="8" t="s">
        <v>3</v>
      </c>
      <c r="E8" s="8" t="s">
        <v>4</v>
      </c>
      <c r="F8" s="8" t="s">
        <v>5</v>
      </c>
      <c r="G8" s="14" t="s">
        <v>58</v>
      </c>
      <c r="H8" s="14" t="s">
        <v>59</v>
      </c>
      <c r="L8" s="8" t="s">
        <v>1</v>
      </c>
      <c r="M8" s="8" t="s">
        <v>2</v>
      </c>
      <c r="N8" s="8" t="s">
        <v>3</v>
      </c>
      <c r="O8" s="8" t="s">
        <v>4</v>
      </c>
      <c r="P8" s="8" t="s">
        <v>5</v>
      </c>
      <c r="Q8" s="14" t="s">
        <v>58</v>
      </c>
      <c r="R8" s="14" t="s">
        <v>59</v>
      </c>
      <c r="S8" s="15"/>
    </row>
    <row r="9" spans="1:25" s="6" customFormat="1" ht="16.5" thickTop="1">
      <c r="A9" s="211" t="s">
        <v>10</v>
      </c>
      <c r="B9" s="208">
        <v>-1.8216011668057801</v>
      </c>
      <c r="C9" s="208">
        <v>2.4670768877536817</v>
      </c>
      <c r="D9" s="208">
        <v>11.551500742615243</v>
      </c>
      <c r="E9" s="208">
        <v>21.827299420964248</v>
      </c>
      <c r="F9" s="208">
        <v>59.120289710665858</v>
      </c>
      <c r="G9" s="208">
        <v>77.498055852692062</v>
      </c>
      <c r="H9" s="208">
        <v>91.875097183887704</v>
      </c>
      <c r="K9" s="211" t="s">
        <v>10</v>
      </c>
      <c r="L9" s="208">
        <v>-12.347451797195635</v>
      </c>
      <c r="M9" s="208">
        <v>-8.4059115744426602</v>
      </c>
      <c r="N9" s="208">
        <v>0.19610634183968312</v>
      </c>
      <c r="O9" s="208">
        <v>9.3395699578279103</v>
      </c>
      <c r="P9" s="208">
        <v>46.946624977871551</v>
      </c>
      <c r="Q9" s="208">
        <v>66.020579266228637</v>
      </c>
      <c r="R9" s="208">
        <v>80.829923397084769</v>
      </c>
      <c r="S9" s="15"/>
    </row>
    <row r="10" spans="1:25" s="6" customFormat="1">
      <c r="A10" s="211" t="s">
        <v>18</v>
      </c>
      <c r="B10" s="208">
        <v>-4.1273452043152217</v>
      </c>
      <c r="C10" s="208">
        <v>-0.50951120724260912</v>
      </c>
      <c r="D10" s="208">
        <v>9.7082773276637937</v>
      </c>
      <c r="E10" s="208">
        <v>18.053414099811135</v>
      </c>
      <c r="F10" s="208">
        <v>71.252775390683624</v>
      </c>
      <c r="G10" s="208">
        <v>91.245713876624762</v>
      </c>
      <c r="H10" s="208">
        <v>106.16734089160727</v>
      </c>
      <c r="K10" s="211" t="s">
        <v>18</v>
      </c>
      <c r="L10" s="208">
        <v>-14.947345204315223</v>
      </c>
      <c r="M10" s="208">
        <v>-11.509511207242609</v>
      </c>
      <c r="N10" s="208">
        <v>-1.9167226723362063</v>
      </c>
      <c r="O10" s="208">
        <v>5.4909140998111354</v>
      </c>
      <c r="P10" s="208">
        <v>58.315275390683624</v>
      </c>
      <c r="Q10" s="208">
        <v>78.308213876624762</v>
      </c>
      <c r="R10" s="208">
        <v>93.229840891607267</v>
      </c>
      <c r="S10" s="15"/>
    </row>
    <row r="11" spans="1:25" s="6" customFormat="1">
      <c r="A11" s="211" t="s">
        <v>194</v>
      </c>
      <c r="B11" s="208">
        <v>-0.7</v>
      </c>
      <c r="C11" s="208">
        <v>1.9</v>
      </c>
      <c r="D11" s="208">
        <v>11</v>
      </c>
      <c r="E11" s="208">
        <v>20.5</v>
      </c>
      <c r="F11" s="208">
        <v>77.5</v>
      </c>
      <c r="G11" s="208">
        <v>97.5</v>
      </c>
      <c r="H11" s="208">
        <v>127.5</v>
      </c>
      <c r="K11" s="211" t="s">
        <v>194</v>
      </c>
      <c r="L11" s="208">
        <v>-11.1</v>
      </c>
      <c r="M11" s="208">
        <v>-8.6999999999999993</v>
      </c>
      <c r="N11" s="208">
        <v>-0.1</v>
      </c>
      <c r="O11" s="208">
        <v>8.5</v>
      </c>
      <c r="P11" s="208">
        <v>65.8</v>
      </c>
      <c r="Q11" s="208">
        <v>85.8</v>
      </c>
      <c r="R11" s="208">
        <v>115.8</v>
      </c>
      <c r="S11" s="15"/>
    </row>
    <row r="12" spans="1:25" s="6" customFormat="1">
      <c r="A12" s="11" t="s">
        <v>8</v>
      </c>
      <c r="B12" s="21">
        <f>AVERAGE(B9:B11)</f>
        <v>-2.2163154570403338</v>
      </c>
      <c r="C12" s="21">
        <f t="shared" ref="C12:H12" si="0">AVERAGE(C9:C11)</f>
        <v>1.2858552268370242</v>
      </c>
      <c r="D12" s="21">
        <f t="shared" si="0"/>
        <v>10.753259356759679</v>
      </c>
      <c r="E12" s="21">
        <f t="shared" si="0"/>
        <v>20.126904506925129</v>
      </c>
      <c r="F12" s="21">
        <f t="shared" si="0"/>
        <v>69.291021700449832</v>
      </c>
      <c r="G12" s="21">
        <f t="shared" si="0"/>
        <v>88.747923243105603</v>
      </c>
      <c r="H12" s="21">
        <f t="shared" si="0"/>
        <v>108.51414602516498</v>
      </c>
      <c r="K12" s="11" t="s">
        <v>8</v>
      </c>
      <c r="L12" s="21">
        <f t="shared" ref="L12:R12" si="1">AVERAGE(L9:L11)</f>
        <v>-12.798265667170286</v>
      </c>
      <c r="M12" s="21">
        <f t="shared" si="1"/>
        <v>-9.5384742605617561</v>
      </c>
      <c r="N12" s="21">
        <f t="shared" si="1"/>
        <v>-0.60687211016550779</v>
      </c>
      <c r="O12" s="21">
        <f t="shared" si="1"/>
        <v>7.7768280192130161</v>
      </c>
      <c r="P12" s="21">
        <f t="shared" si="1"/>
        <v>57.02063345618506</v>
      </c>
      <c r="Q12" s="21">
        <f t="shared" si="1"/>
        <v>76.70959771428447</v>
      </c>
      <c r="R12" s="21">
        <f t="shared" si="1"/>
        <v>96.619921429564002</v>
      </c>
      <c r="S12" s="15"/>
    </row>
    <row r="13" spans="1:25" s="6" customFormat="1">
      <c r="K13" s="3"/>
      <c r="L13" s="73">
        <f>L12-B12</f>
        <v>-10.581950210129952</v>
      </c>
      <c r="M13" s="73">
        <f t="shared" ref="M13:R13" si="2">M12-C12</f>
        <v>-10.82432948739878</v>
      </c>
      <c r="N13" s="73">
        <f t="shared" si="2"/>
        <v>-11.360131466925187</v>
      </c>
      <c r="O13" s="73">
        <f t="shared" si="2"/>
        <v>-12.350076487712112</v>
      </c>
      <c r="P13" s="73">
        <f t="shared" si="2"/>
        <v>-12.270388244264772</v>
      </c>
      <c r="Q13" s="73">
        <f t="shared" si="2"/>
        <v>-12.038325528821133</v>
      </c>
      <c r="R13" s="73">
        <f t="shared" si="2"/>
        <v>-11.894224595600974</v>
      </c>
      <c r="S13" s="15"/>
    </row>
    <row r="14" spans="1:25" s="6" customFormat="1">
      <c r="A14" s="7" t="s">
        <v>6</v>
      </c>
      <c r="B14" s="3"/>
      <c r="C14" s="3"/>
      <c r="D14" s="3"/>
      <c r="E14" s="3"/>
      <c r="F14" s="3"/>
      <c r="K14" s="7" t="s">
        <v>6</v>
      </c>
      <c r="L14" s="12"/>
      <c r="M14" s="13"/>
      <c r="N14" s="13"/>
      <c r="O14" s="13"/>
      <c r="P14" s="13"/>
      <c r="R14" s="4"/>
      <c r="S14" s="7" t="s">
        <v>6</v>
      </c>
      <c r="T14" s="12"/>
      <c r="U14" s="13"/>
      <c r="V14" s="13"/>
      <c r="W14" s="13"/>
      <c r="X14" s="13"/>
    </row>
    <row r="15" spans="1:25" s="6" customFormat="1">
      <c r="A15" s="1" t="s">
        <v>15</v>
      </c>
      <c r="B15" s="13"/>
      <c r="C15" s="13"/>
      <c r="D15" s="13"/>
      <c r="E15" s="13"/>
      <c r="F15" s="13"/>
      <c r="K15" s="1" t="s">
        <v>57</v>
      </c>
      <c r="L15" s="4"/>
      <c r="M15" s="4"/>
      <c r="R15" s="4"/>
      <c r="S15" s="1" t="s">
        <v>61</v>
      </c>
      <c r="T15" s="4"/>
      <c r="U15" s="4"/>
    </row>
    <row r="16" spans="1:25" s="6" customFormat="1" ht="16.5" thickBot="1">
      <c r="A16" s="3"/>
      <c r="B16" s="14" t="s">
        <v>1</v>
      </c>
      <c r="C16" s="14" t="s">
        <v>2</v>
      </c>
      <c r="D16" s="14" t="s">
        <v>3</v>
      </c>
      <c r="E16" s="14" t="s">
        <v>4</v>
      </c>
      <c r="F16" s="14" t="s">
        <v>5</v>
      </c>
      <c r="G16" s="14" t="s">
        <v>59</v>
      </c>
      <c r="K16" s="3"/>
      <c r="L16" s="14" t="s">
        <v>1</v>
      </c>
      <c r="M16" s="14" t="s">
        <v>2</v>
      </c>
      <c r="N16" s="14" t="s">
        <v>3</v>
      </c>
      <c r="O16" s="14" t="s">
        <v>4</v>
      </c>
      <c r="P16" s="14" t="s">
        <v>5</v>
      </c>
      <c r="Q16" s="14" t="s">
        <v>59</v>
      </c>
      <c r="R16" s="4"/>
      <c r="S16" s="3"/>
      <c r="T16" s="14" t="s">
        <v>1</v>
      </c>
      <c r="U16" s="14" t="s">
        <v>2</v>
      </c>
      <c r="V16" s="14" t="s">
        <v>3</v>
      </c>
      <c r="W16" s="14" t="s">
        <v>4</v>
      </c>
      <c r="X16" s="14" t="s">
        <v>5</v>
      </c>
      <c r="Y16" s="14" t="s">
        <v>59</v>
      </c>
    </row>
    <row r="17" spans="1:25" s="6" customFormat="1" ht="16.5" thickTop="1">
      <c r="A17" s="211" t="s">
        <v>17</v>
      </c>
      <c r="B17" s="208">
        <v>16.899999999999999</v>
      </c>
      <c r="C17" s="208">
        <v>18</v>
      </c>
      <c r="D17" s="208">
        <v>20.9</v>
      </c>
      <c r="E17" s="208">
        <v>22.3</v>
      </c>
      <c r="F17" s="208">
        <v>18.100000000000001</v>
      </c>
      <c r="G17" s="208">
        <v>39.700000000000003</v>
      </c>
      <c r="K17" s="211" t="s">
        <v>17</v>
      </c>
      <c r="L17" s="208">
        <v>-16.2</v>
      </c>
      <c r="M17" s="208">
        <v>-13.9</v>
      </c>
      <c r="N17" s="208">
        <v>-9.5</v>
      </c>
      <c r="O17" s="208">
        <v>-6.7</v>
      </c>
      <c r="P17" s="208">
        <v>10.7</v>
      </c>
      <c r="Q17" s="208">
        <v>36</v>
      </c>
      <c r="R17" s="69"/>
      <c r="S17" s="9" t="str">
        <f>K17</f>
        <v>Deutsche</v>
      </c>
      <c r="T17" s="118">
        <v>-22</v>
      </c>
      <c r="U17" s="118">
        <v>-20.427451463989577</v>
      </c>
      <c r="V17" s="118">
        <v>-17.2</v>
      </c>
      <c r="W17" s="118">
        <v>-14.9</v>
      </c>
      <c r="X17" s="118">
        <v>6.3</v>
      </c>
      <c r="Y17" s="118">
        <v>31</v>
      </c>
    </row>
    <row r="18" spans="1:25" s="6" customFormat="1">
      <c r="A18" s="211" t="s">
        <v>18</v>
      </c>
      <c r="B18" s="208">
        <v>16.7</v>
      </c>
      <c r="C18" s="208">
        <v>17.025000000000002</v>
      </c>
      <c r="D18" s="208">
        <v>18.799999999999997</v>
      </c>
      <c r="E18" s="208">
        <v>23.532782704916379</v>
      </c>
      <c r="F18" s="208">
        <v>15.803577905642456</v>
      </c>
      <c r="G18" s="208">
        <v>36.41012662623821</v>
      </c>
      <c r="H18" s="10"/>
      <c r="K18" s="211" t="s">
        <v>18</v>
      </c>
      <c r="L18" s="208">
        <v>-15.425000000000001</v>
      </c>
      <c r="M18" s="208">
        <v>-13.849999999999998</v>
      </c>
      <c r="N18" s="208">
        <v>-10.700000000000003</v>
      </c>
      <c r="O18" s="208">
        <v>-4.9047172950836213</v>
      </c>
      <c r="P18" s="208">
        <v>7.3035779056424559</v>
      </c>
      <c r="Q18" s="208">
        <v>25.66012662623821</v>
      </c>
      <c r="R18" s="69"/>
      <c r="S18" s="9" t="str">
        <f t="shared" ref="S18:S19" si="3">K18</f>
        <v>MorganStanley</v>
      </c>
      <c r="T18" s="208">
        <v>-21.25</v>
      </c>
      <c r="U18" s="208">
        <v>-20.399999999999999</v>
      </c>
      <c r="V18" s="208">
        <v>-18.400000000000002</v>
      </c>
      <c r="W18" s="208">
        <v>-13.154717295083621</v>
      </c>
      <c r="X18" s="208">
        <v>2.9535779056424558</v>
      </c>
      <c r="Y18" s="208">
        <v>22.760126626238211</v>
      </c>
    </row>
    <row r="19" spans="1:25" s="6" customFormat="1">
      <c r="A19" s="211" t="s">
        <v>60</v>
      </c>
      <c r="B19" s="118">
        <v>13.575000000000003</v>
      </c>
      <c r="C19" s="118">
        <v>15.525000000000002</v>
      </c>
      <c r="D19" s="118">
        <v>19.474999999999998</v>
      </c>
      <c r="E19" s="118">
        <v>23.875</v>
      </c>
      <c r="F19" s="118">
        <v>18.875</v>
      </c>
      <c r="G19" s="118">
        <v>49.55</v>
      </c>
      <c r="H19" s="10"/>
      <c r="K19" s="211" t="s">
        <v>60</v>
      </c>
      <c r="L19" s="118">
        <v>-18.549999999999997</v>
      </c>
      <c r="M19" s="118">
        <v>-15.349999999999998</v>
      </c>
      <c r="N19" s="118">
        <v>-9.9000000000000021</v>
      </c>
      <c r="O19" s="118">
        <v>-4</v>
      </c>
      <c r="P19" s="118">
        <v>10.25</v>
      </c>
      <c r="Q19" s="118">
        <v>38.799999999999997</v>
      </c>
      <c r="R19" s="69"/>
      <c r="S19" s="9" t="str">
        <f t="shared" si="3"/>
        <v>GS</v>
      </c>
      <c r="T19" s="118">
        <v>-24.4</v>
      </c>
      <c r="U19" s="118">
        <v>-21.9</v>
      </c>
      <c r="V19" s="118">
        <v>-17.600000000000001</v>
      </c>
      <c r="W19" s="118">
        <v>-12.2</v>
      </c>
      <c r="X19" s="118">
        <v>5.9</v>
      </c>
      <c r="Y19" s="118">
        <v>35.9</v>
      </c>
    </row>
    <row r="20" spans="1:25" s="6" customFormat="1">
      <c r="A20" s="11" t="s">
        <v>8</v>
      </c>
      <c r="B20" s="21">
        <f t="shared" ref="B20:G20" si="4">AVERAGE(B17:B19)</f>
        <v>15.725</v>
      </c>
      <c r="C20" s="21">
        <f t="shared" si="4"/>
        <v>16.850000000000005</v>
      </c>
      <c r="D20" s="21">
        <f t="shared" si="4"/>
        <v>19.724999999999998</v>
      </c>
      <c r="E20" s="21">
        <f t="shared" si="4"/>
        <v>23.23592756830546</v>
      </c>
      <c r="F20" s="21">
        <f t="shared" si="4"/>
        <v>17.592859301880818</v>
      </c>
      <c r="G20" s="21">
        <f t="shared" si="4"/>
        <v>41.886708875412737</v>
      </c>
      <c r="H20" s="10"/>
      <c r="K20" s="11" t="s">
        <v>8</v>
      </c>
      <c r="L20" s="21">
        <f t="shared" ref="L20:Q20" si="5">AVERAGE(L17:L19)</f>
        <v>-16.724999999999998</v>
      </c>
      <c r="M20" s="21">
        <f t="shared" si="5"/>
        <v>-14.366666666666665</v>
      </c>
      <c r="N20" s="21">
        <f t="shared" si="5"/>
        <v>-10.033333333333335</v>
      </c>
      <c r="O20" s="21">
        <f t="shared" si="5"/>
        <v>-5.2015724316945402</v>
      </c>
      <c r="P20" s="21">
        <f t="shared" si="5"/>
        <v>9.417859301880819</v>
      </c>
      <c r="Q20" s="21">
        <f t="shared" si="5"/>
        <v>33.486708875412738</v>
      </c>
      <c r="R20" s="4"/>
      <c r="S20" s="11"/>
      <c r="T20" s="21">
        <f>AVERAGE(T17:T19)</f>
        <v>-22.55</v>
      </c>
      <c r="U20" s="21">
        <f t="shared" ref="U20:Y20" si="6">AVERAGE(U17:U19)</f>
        <v>-20.909150487996524</v>
      </c>
      <c r="V20" s="21">
        <f t="shared" si="6"/>
        <v>-17.733333333333334</v>
      </c>
      <c r="W20" s="21">
        <f t="shared" si="6"/>
        <v>-13.418239098361207</v>
      </c>
      <c r="X20" s="21">
        <f t="shared" si="6"/>
        <v>5.0511926352141518</v>
      </c>
      <c r="Y20" s="21">
        <f t="shared" si="6"/>
        <v>29.886708875412737</v>
      </c>
    </row>
    <row r="21" spans="1:25" s="6" customFormat="1">
      <c r="B21" s="72"/>
      <c r="C21" s="72"/>
      <c r="D21" s="72"/>
      <c r="E21" s="72"/>
      <c r="F21" s="72"/>
      <c r="G21" s="72"/>
      <c r="H21" s="10"/>
      <c r="L21" s="72"/>
      <c r="M21" s="72"/>
      <c r="N21" s="72"/>
      <c r="O21" s="72"/>
      <c r="P21" s="72"/>
      <c r="Q21" s="72"/>
      <c r="R21" s="15"/>
      <c r="T21" s="72"/>
      <c r="U21" s="72"/>
      <c r="V21" s="72"/>
      <c r="W21" s="72"/>
      <c r="X21" s="72"/>
      <c r="Y21" s="72"/>
    </row>
    <row r="22" spans="1:25" s="6" customFormat="1">
      <c r="R22" s="15"/>
      <c r="S22" s="15"/>
    </row>
    <row r="23" spans="1:25" s="6" customFormat="1">
      <c r="A23" s="7" t="s">
        <v>7</v>
      </c>
      <c r="B23" s="4"/>
      <c r="C23" s="4"/>
      <c r="K23" s="7" t="s">
        <v>7</v>
      </c>
      <c r="L23" s="3"/>
      <c r="M23" s="3"/>
      <c r="N23" s="3"/>
      <c r="O23" s="3"/>
      <c r="P23" s="13" t="s">
        <v>9</v>
      </c>
      <c r="R23" s="4"/>
      <c r="S23" s="15"/>
    </row>
    <row r="24" spans="1:25" s="6" customFormat="1">
      <c r="A24" s="1" t="s">
        <v>15</v>
      </c>
      <c r="B24" s="13"/>
      <c r="C24" s="13"/>
      <c r="D24" s="13"/>
      <c r="E24" s="13"/>
      <c r="K24" s="1" t="s">
        <v>14</v>
      </c>
      <c r="L24" s="13"/>
      <c r="M24" s="13"/>
      <c r="N24" s="13"/>
      <c r="O24" s="13"/>
      <c r="P24" s="13"/>
      <c r="R24" s="4"/>
      <c r="S24" s="15"/>
    </row>
    <row r="25" spans="1:25" s="6" customFormat="1" ht="16.5" thickBot="1">
      <c r="A25" s="3"/>
      <c r="B25" s="14" t="s">
        <v>1</v>
      </c>
      <c r="C25" s="14" t="s">
        <v>2</v>
      </c>
      <c r="D25" s="14" t="s">
        <v>3</v>
      </c>
      <c r="E25" s="14" t="s">
        <v>4</v>
      </c>
      <c r="K25" s="3"/>
      <c r="L25" s="14" t="s">
        <v>1</v>
      </c>
      <c r="M25" s="14" t="s">
        <v>2</v>
      </c>
      <c r="N25" s="14" t="s">
        <v>3</v>
      </c>
      <c r="O25" s="14" t="s">
        <v>4</v>
      </c>
      <c r="P25" s="16"/>
      <c r="Q25" s="2"/>
      <c r="R25" s="4"/>
      <c r="S25" s="15"/>
    </row>
    <row r="26" spans="1:25" s="6" customFormat="1" ht="16.5" thickTop="1">
      <c r="A26" s="211" t="s">
        <v>11</v>
      </c>
      <c r="B26" s="22">
        <v>18.987056205446304</v>
      </c>
      <c r="C26" s="22">
        <v>24.645989823358974</v>
      </c>
      <c r="D26" s="22">
        <v>30.882649478298891</v>
      </c>
      <c r="E26" s="119">
        <v>44.572080664068572</v>
      </c>
      <c r="F26" s="67"/>
      <c r="G26" s="67"/>
      <c r="K26" s="211" t="s">
        <v>11</v>
      </c>
      <c r="L26" s="22">
        <v>-34.763003794553697</v>
      </c>
      <c r="M26" s="22">
        <v>-31.667080176641026</v>
      </c>
      <c r="N26" s="22">
        <v>-28.494130521701109</v>
      </c>
      <c r="O26" s="119">
        <v>-16.184909335931426</v>
      </c>
      <c r="P26" s="22"/>
      <c r="Q26" s="2"/>
      <c r="R26" s="4"/>
    </row>
    <row r="27" spans="1:25" s="6" customFormat="1">
      <c r="A27" s="211" t="s">
        <v>16</v>
      </c>
      <c r="B27" s="208">
        <v>54.719704000000007</v>
      </c>
      <c r="C27" s="208">
        <v>55.990667089999995</v>
      </c>
      <c r="D27" s="208">
        <v>54.566924999999998</v>
      </c>
      <c r="E27" s="208">
        <v>55.733975000000001</v>
      </c>
      <c r="F27" s="67"/>
      <c r="G27" s="67"/>
      <c r="K27" s="211" t="s">
        <v>16</v>
      </c>
      <c r="L27" s="208">
        <v>-0.64999999999999991</v>
      </c>
      <c r="M27" s="208">
        <v>-2.4670000000000023</v>
      </c>
      <c r="N27" s="208">
        <v>-7.9999999999999991</v>
      </c>
      <c r="O27" s="208">
        <v>-11.649999999999999</v>
      </c>
      <c r="P27" s="20"/>
      <c r="Q27" s="16"/>
      <c r="R27" s="4"/>
      <c r="S27" s="15"/>
    </row>
    <row r="28" spans="1:25" s="6" customFormat="1">
      <c r="A28" s="11" t="s">
        <v>8</v>
      </c>
      <c r="B28" s="21">
        <f>AVERAGE(B26:B27)</f>
        <v>36.853380102723158</v>
      </c>
      <c r="C28" s="21">
        <f>AVERAGE(C26:C27)</f>
        <v>40.318328456679481</v>
      </c>
      <c r="D28" s="21">
        <f>AVERAGE(D26:D27)</f>
        <v>42.724787239149443</v>
      </c>
      <c r="E28" s="21">
        <f>AVERAGE(E26:E27)</f>
        <v>50.153027832034283</v>
      </c>
      <c r="K28" s="11" t="s">
        <v>8</v>
      </c>
      <c r="L28" s="21">
        <f>AVERAGE(L26:L27)</f>
        <v>-17.706501897276848</v>
      </c>
      <c r="M28" s="21">
        <f>AVERAGE(M26:M27)</f>
        <v>-17.067040088320514</v>
      </c>
      <c r="N28" s="21">
        <f>AVERAGE(N26:N27)</f>
        <v>-18.247065260850555</v>
      </c>
      <c r="O28" s="21">
        <f>AVERAGE(O26:O27)</f>
        <v>-13.917454667965712</v>
      </c>
      <c r="P28" s="17"/>
      <c r="Q28" s="2"/>
      <c r="R28" s="4"/>
      <c r="S28" s="15"/>
    </row>
    <row r="29" spans="1:25" s="6" customFormat="1">
      <c r="A29" s="4"/>
      <c r="B29" s="4"/>
      <c r="C29" s="4"/>
      <c r="K29" s="3"/>
      <c r="L29" s="18"/>
      <c r="M29" s="19"/>
      <c r="N29" s="19"/>
      <c r="O29" s="19"/>
      <c r="P29" s="19"/>
      <c r="R29" s="4"/>
      <c r="S29" s="15"/>
    </row>
    <row r="30" spans="1:25" s="6" customFormat="1">
      <c r="A30" s="1" t="s">
        <v>53</v>
      </c>
      <c r="B30" s="3"/>
      <c r="C30" s="3"/>
      <c r="D30" s="3"/>
      <c r="E30" s="3"/>
      <c r="F30" s="25"/>
      <c r="G30" s="25"/>
      <c r="H30" s="25"/>
      <c r="I30" s="25"/>
      <c r="K30" s="1" t="s">
        <v>54</v>
      </c>
      <c r="M30" s="3"/>
      <c r="N30" s="3"/>
      <c r="O30" s="3"/>
      <c r="P30" s="25"/>
      <c r="Q30" s="25"/>
      <c r="R30" s="25"/>
      <c r="S30" s="25"/>
    </row>
    <row r="31" spans="1:25" s="6" customFormat="1">
      <c r="A31" s="26" t="s">
        <v>31</v>
      </c>
      <c r="B31" s="26" t="s">
        <v>32</v>
      </c>
      <c r="C31" s="26" t="s">
        <v>33</v>
      </c>
      <c r="D31" s="26" t="s">
        <v>34</v>
      </c>
      <c r="E31" s="26" t="s">
        <v>1</v>
      </c>
      <c r="F31" s="26" t="s">
        <v>2</v>
      </c>
      <c r="G31" s="26" t="s">
        <v>3</v>
      </c>
      <c r="H31" s="26" t="s">
        <v>4</v>
      </c>
      <c r="I31" s="26" t="s">
        <v>5</v>
      </c>
      <c r="K31" s="26" t="s">
        <v>31</v>
      </c>
      <c r="L31" s="26" t="s">
        <v>32</v>
      </c>
      <c r="M31" s="26" t="s">
        <v>33</v>
      </c>
      <c r="N31" s="26" t="s">
        <v>34</v>
      </c>
      <c r="O31" s="26" t="s">
        <v>1</v>
      </c>
      <c r="P31" s="26" t="s">
        <v>2</v>
      </c>
      <c r="Q31" s="26" t="s">
        <v>3</v>
      </c>
      <c r="R31" s="26" t="s">
        <v>4</v>
      </c>
      <c r="S31" s="26" t="s">
        <v>5</v>
      </c>
    </row>
    <row r="32" spans="1:25" s="6" customFormat="1">
      <c r="A32" s="71">
        <f>D59</f>
        <v>-25</v>
      </c>
      <c r="B32" s="71">
        <f>D60</f>
        <v>-30.128224411365668</v>
      </c>
      <c r="C32" s="71">
        <f>D62</f>
        <v>-23.448048234241668</v>
      </c>
      <c r="D32" s="71">
        <f>D63</f>
        <v>-12.231361497530324</v>
      </c>
      <c r="E32" s="27">
        <f>B12</f>
        <v>-2.2163154570403338</v>
      </c>
      <c r="F32" s="27">
        <f t="shared" ref="F32:I32" si="7">C12</f>
        <v>1.2858552268370242</v>
      </c>
      <c r="G32" s="27">
        <f t="shared" si="7"/>
        <v>10.753259356759679</v>
      </c>
      <c r="H32" s="27">
        <f t="shared" si="7"/>
        <v>20.126904506925129</v>
      </c>
      <c r="I32" s="27">
        <f t="shared" si="7"/>
        <v>69.291021700449832</v>
      </c>
      <c r="J32" s="28"/>
      <c r="K32" s="29">
        <f>F52</f>
        <v>-66.75</v>
      </c>
      <c r="L32" s="29">
        <f>F53</f>
        <v>-46.756999999999991</v>
      </c>
      <c r="M32" s="29">
        <f>F55</f>
        <v>-32.375</v>
      </c>
      <c r="N32" s="29">
        <f>F56</f>
        <v>-23.995000000000005</v>
      </c>
      <c r="O32" s="30">
        <f>L12</f>
        <v>-12.798265667170286</v>
      </c>
      <c r="P32" s="30">
        <f t="shared" ref="P32:S32" si="8">M12</f>
        <v>-9.5384742605617561</v>
      </c>
      <c r="Q32" s="30">
        <f t="shared" si="8"/>
        <v>-0.60687211016550779</v>
      </c>
      <c r="R32" s="30">
        <f t="shared" si="8"/>
        <v>7.7768280192130161</v>
      </c>
      <c r="S32" s="30">
        <f t="shared" si="8"/>
        <v>57.02063345618506</v>
      </c>
    </row>
    <row r="33" spans="1:19" s="6" customFormat="1">
      <c r="A33" s="26" t="s">
        <v>35</v>
      </c>
      <c r="B33" s="26" t="s">
        <v>35</v>
      </c>
      <c r="C33" s="26" t="s">
        <v>35</v>
      </c>
      <c r="D33" s="26" t="s">
        <v>35</v>
      </c>
      <c r="E33" s="26" t="s">
        <v>36</v>
      </c>
      <c r="F33" s="26" t="s">
        <v>36</v>
      </c>
      <c r="G33" s="26" t="s">
        <v>36</v>
      </c>
      <c r="H33" s="26" t="s">
        <v>36</v>
      </c>
      <c r="I33" s="26" t="s">
        <v>36</v>
      </c>
      <c r="J33" s="28"/>
      <c r="K33" s="26" t="s">
        <v>35</v>
      </c>
      <c r="L33" s="26" t="s">
        <v>35</v>
      </c>
      <c r="M33" s="26" t="s">
        <v>35</v>
      </c>
      <c r="N33" s="26" t="s">
        <v>35</v>
      </c>
      <c r="O33" s="26" t="s">
        <v>36</v>
      </c>
      <c r="P33" s="26" t="s">
        <v>36</v>
      </c>
      <c r="Q33" s="26" t="s">
        <v>36</v>
      </c>
      <c r="R33" s="26" t="s">
        <v>36</v>
      </c>
      <c r="S33" s="26" t="s">
        <v>36</v>
      </c>
    </row>
    <row r="34" spans="1:19" s="6" customFormat="1">
      <c r="A34" s="31" t="s">
        <v>37</v>
      </c>
      <c r="B34" s="3"/>
      <c r="C34" s="3"/>
      <c r="D34" s="3"/>
      <c r="E34" s="3"/>
      <c r="F34" s="3"/>
      <c r="G34" s="3"/>
      <c r="I34" s="3"/>
      <c r="K34" s="26"/>
      <c r="L34" s="26"/>
      <c r="M34" s="26"/>
      <c r="N34" s="26"/>
      <c r="O34" s="26"/>
      <c r="P34" s="26"/>
      <c r="Q34" s="26"/>
      <c r="R34" s="26"/>
      <c r="S34" s="26"/>
    </row>
    <row r="35" spans="1:19" s="6" customFormat="1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19"/>
      <c r="R35" s="4"/>
      <c r="S35" s="15"/>
    </row>
    <row r="36" spans="1:19" s="6" customFormat="1">
      <c r="A36" s="4"/>
      <c r="B36" s="4"/>
      <c r="C36" s="4"/>
      <c r="E36" s="4"/>
      <c r="F36" s="4"/>
      <c r="G36" s="4"/>
      <c r="H36" s="4"/>
      <c r="I36" s="4"/>
      <c r="K36" s="3"/>
      <c r="L36" s="18"/>
      <c r="M36" s="19"/>
      <c r="N36" s="19"/>
      <c r="O36" s="76"/>
      <c r="P36" s="76"/>
      <c r="Q36" s="76"/>
      <c r="R36" s="76"/>
      <c r="S36" s="76"/>
    </row>
    <row r="37" spans="1:19" s="6" customFormat="1">
      <c r="A37" s="32" t="s">
        <v>38</v>
      </c>
      <c r="E37" s="4"/>
      <c r="F37" s="4"/>
      <c r="G37" s="4"/>
      <c r="H37" s="4"/>
      <c r="I37" s="4"/>
    </row>
    <row r="38" spans="1:19">
      <c r="A38" s="33" t="s">
        <v>21</v>
      </c>
      <c r="B38" s="60">
        <f>_xll.BDP("US00O/N Index","PX_last")</f>
        <v>1.4424999999999999</v>
      </c>
      <c r="C38" s="34"/>
      <c r="D38" s="35"/>
      <c r="E38" s="4"/>
      <c r="F38" s="4"/>
      <c r="G38" s="60">
        <f>_xll.BDP("US00O/N Index","PX_last")</f>
        <v>1.4424999999999999</v>
      </c>
      <c r="H38" s="4"/>
      <c r="I38" s="4"/>
      <c r="K38" s="37"/>
      <c r="L38" s="37"/>
      <c r="M38" s="34"/>
      <c r="N38" s="35"/>
    </row>
    <row r="39" spans="1:19">
      <c r="A39" s="33" t="s">
        <v>39</v>
      </c>
      <c r="B39" s="60">
        <f>_xll.BDP("FEDL01 Index","PX_last")</f>
        <v>1.42</v>
      </c>
      <c r="C39" s="34"/>
      <c r="D39" s="35"/>
      <c r="E39" s="4"/>
      <c r="F39" s="4"/>
      <c r="G39" s="60">
        <f>_xll.BDP("FEDL01 Index","PX_last")</f>
        <v>1.42</v>
      </c>
      <c r="H39" s="4"/>
      <c r="I39" s="4"/>
      <c r="K39" s="37"/>
      <c r="L39" s="37"/>
      <c r="M39" s="34"/>
      <c r="N39" s="35"/>
    </row>
    <row r="40" spans="1:19">
      <c r="A40" s="33" t="s">
        <v>22</v>
      </c>
      <c r="B40" s="61">
        <f>_xll.BDP("usBGC index","PX_last")</f>
        <v>40.625</v>
      </c>
      <c r="C40" s="34"/>
      <c r="D40" s="35"/>
      <c r="E40" s="4"/>
      <c r="F40" s="4"/>
      <c r="G40" s="61">
        <f>_xll.BDP("usBGC index","PX_last")</f>
        <v>40.625</v>
      </c>
      <c r="H40" s="4"/>
      <c r="I40" s="4"/>
      <c r="K40" s="37"/>
      <c r="L40" s="62"/>
      <c r="M40" s="34"/>
      <c r="N40" s="35"/>
    </row>
    <row r="41" spans="1:19">
      <c r="A41" s="33" t="s">
        <v>23</v>
      </c>
      <c r="B41" s="60">
        <f>_xll.BDP("US0001M Index","PX_last")</f>
        <v>1.6700699999999999</v>
      </c>
      <c r="C41" s="34"/>
      <c r="D41" s="35"/>
      <c r="E41" s="6"/>
      <c r="F41" s="6"/>
      <c r="G41" s="60">
        <f>_xll.BDP("US0001M Index","PX_last")</f>
        <v>1.6700699999999999</v>
      </c>
      <c r="K41" s="37"/>
      <c r="L41" s="62"/>
      <c r="M41" s="34"/>
      <c r="N41" s="35"/>
    </row>
    <row r="42" spans="1:19">
      <c r="A42" s="33" t="s">
        <v>24</v>
      </c>
      <c r="B42" s="60">
        <f>_xll.BDP("us0003m index","PX_last")</f>
        <v>2.0171899999999998</v>
      </c>
      <c r="C42" s="34"/>
      <c r="D42" s="35"/>
      <c r="E42" s="6"/>
      <c r="F42" s="6"/>
      <c r="G42" s="60">
        <f>_xll.BDP("us0003m index","PX_last")</f>
        <v>2.0171899999999998</v>
      </c>
      <c r="K42" s="37"/>
      <c r="L42" s="62"/>
      <c r="M42" s="34"/>
      <c r="N42" s="35"/>
    </row>
    <row r="43" spans="1:19">
      <c r="A43" s="33" t="s">
        <v>25</v>
      </c>
      <c r="B43" s="60">
        <f>_xll.BDP("us0006m index","PX_last")</f>
        <v>2.2237499999999999</v>
      </c>
      <c r="C43" s="34"/>
      <c r="D43" s="35"/>
      <c r="E43" s="6"/>
      <c r="F43" s="6"/>
      <c r="G43" s="60">
        <f>_xll.BDP("us0006m index","PX_last")</f>
        <v>2.2237499999999999</v>
      </c>
      <c r="K43" s="37"/>
      <c r="L43" s="62"/>
      <c r="M43" s="34"/>
      <c r="N43" s="35"/>
    </row>
    <row r="44" spans="1:19">
      <c r="A44" s="33" t="s">
        <v>26</v>
      </c>
      <c r="B44" s="60">
        <f>_xll.BDP("ussw1 index","PX_last")</f>
        <v>2.3187000000000002</v>
      </c>
      <c r="C44" s="34"/>
      <c r="D44" s="35"/>
      <c r="E44" s="6"/>
      <c r="F44" s="6"/>
      <c r="G44" s="60">
        <f>_xll.BDP("ussw1 index","PX_last")</f>
        <v>2.3187000000000002</v>
      </c>
      <c r="K44" s="37"/>
      <c r="L44" s="62"/>
      <c r="M44" s="34"/>
      <c r="N44" s="35"/>
    </row>
    <row r="45" spans="1:19">
      <c r="A45" s="33" t="s">
        <v>40</v>
      </c>
      <c r="B45" s="61">
        <f>_xll.BDP("USBAAC PREB Curncy","PX_last")</f>
        <v>20.625</v>
      </c>
      <c r="C45" s="34"/>
      <c r="D45" s="35"/>
      <c r="E45" s="6"/>
      <c r="F45" s="6"/>
      <c r="G45" s="61">
        <f>_xll.BDP("USBAAC PREB Curncy","PX_last")</f>
        <v>20.625</v>
      </c>
      <c r="K45" s="37"/>
      <c r="L45" s="62"/>
      <c r="M45" s="34"/>
      <c r="N45" s="35"/>
    </row>
    <row r="46" spans="1:19">
      <c r="A46" s="33" t="s">
        <v>27</v>
      </c>
      <c r="B46" s="61">
        <f>_xll.BDP("USBBF PREB Curncy", "PX_MID")</f>
        <v>27.875</v>
      </c>
      <c r="C46" s="34"/>
      <c r="D46" s="35"/>
      <c r="E46" s="6"/>
      <c r="F46" s="6"/>
      <c r="G46" s="61">
        <f>_xll.BDP("USBBF PREB Curncy", "PX_MID")</f>
        <v>27.875</v>
      </c>
      <c r="K46" s="37"/>
      <c r="L46" s="62"/>
      <c r="M46" s="34"/>
      <c r="N46" s="35"/>
    </row>
    <row r="47" spans="1:19">
      <c r="A47" s="33" t="s">
        <v>28</v>
      </c>
      <c r="B47" s="61">
        <f>_xll.BDP("usbcf index","PX_last")</f>
        <v>9.125</v>
      </c>
      <c r="C47" s="34"/>
      <c r="D47" s="35"/>
      <c r="E47" s="6"/>
      <c r="F47" s="6"/>
      <c r="G47" s="61">
        <f>_xll.BDP("usbcf index","PX_last")</f>
        <v>9.125</v>
      </c>
      <c r="K47" s="37"/>
      <c r="L47" s="62"/>
      <c r="M47" s="34"/>
      <c r="N47" s="35"/>
    </row>
    <row r="48" spans="1:19">
      <c r="A48" s="33" t="s">
        <v>29</v>
      </c>
      <c r="B48" s="61">
        <f>_xll.BDP("usbc1 index","PX_last")</f>
        <v>10.125</v>
      </c>
      <c r="C48" s="34"/>
      <c r="D48" s="35"/>
      <c r="E48" s="6"/>
      <c r="F48" s="6"/>
      <c r="G48" s="61">
        <f>_xll.BDP("usbc1 index","PX_last")</f>
        <v>10.125</v>
      </c>
      <c r="K48" s="37"/>
      <c r="L48" s="62"/>
      <c r="M48" s="34"/>
      <c r="N48" s="35"/>
    </row>
    <row r="49" spans="1:14">
      <c r="A49" s="33" t="s">
        <v>30</v>
      </c>
      <c r="B49" s="61">
        <f>_xll.BDP("USBL1 PREB Curncy","PX_last")</f>
        <v>20.375</v>
      </c>
      <c r="C49" s="34"/>
      <c r="D49" s="35"/>
      <c r="E49" s="6"/>
      <c r="F49" s="6"/>
      <c r="G49" s="61">
        <f>_xll.BDP("USBL1 PREB Curncy","PX_last")</f>
        <v>20.375</v>
      </c>
      <c r="K49" s="37"/>
      <c r="L49" s="62"/>
      <c r="M49" s="34"/>
      <c r="N49" s="35"/>
    </row>
    <row r="50" spans="1:14" ht="16.5" thickBot="1">
      <c r="A50" s="23"/>
      <c r="B50" s="23"/>
      <c r="C50" s="36"/>
      <c r="D50" s="37"/>
      <c r="E50" s="6"/>
      <c r="F50" s="6"/>
      <c r="K50" s="23"/>
      <c r="L50" s="23"/>
      <c r="M50" s="36"/>
      <c r="N50" s="37"/>
    </row>
    <row r="51" spans="1:14" ht="16.5" thickBot="1">
      <c r="A51" s="38"/>
      <c r="B51" s="39" t="s">
        <v>41</v>
      </c>
      <c r="C51" s="40" t="s">
        <v>42</v>
      </c>
      <c r="D51" s="40" t="s">
        <v>43</v>
      </c>
      <c r="E51" s="40" t="s">
        <v>44</v>
      </c>
      <c r="F51" s="41" t="s">
        <v>45</v>
      </c>
      <c r="K51" s="23"/>
      <c r="L51" s="24"/>
      <c r="M51" s="34"/>
      <c r="N51" s="63"/>
    </row>
    <row r="52" spans="1:14">
      <c r="A52" s="42" t="s">
        <v>46</v>
      </c>
      <c r="B52" s="43">
        <v>1.25</v>
      </c>
      <c r="C52" s="45">
        <f>(B52-B39)*100</f>
        <v>-16.999999999999993</v>
      </c>
      <c r="D52" s="44" t="s">
        <v>47</v>
      </c>
      <c r="E52" s="45">
        <f>-B40+C52</f>
        <v>-57.624999999999993</v>
      </c>
      <c r="F52" s="46">
        <f>E52-B47</f>
        <v>-66.75</v>
      </c>
      <c r="H52" s="10"/>
      <c r="K52" s="23"/>
      <c r="L52" s="24"/>
      <c r="M52" s="34"/>
      <c r="N52" s="63"/>
    </row>
    <row r="53" spans="1:14">
      <c r="A53" s="42" t="s">
        <v>48</v>
      </c>
      <c r="B53" s="43">
        <v>1.5</v>
      </c>
      <c r="C53" s="44" t="s">
        <v>47</v>
      </c>
      <c r="D53" s="45">
        <f>(B53-B41)*100</f>
        <v>-17.006999999999994</v>
      </c>
      <c r="E53" s="45">
        <f>D53-B45</f>
        <v>-37.631999999999991</v>
      </c>
      <c r="F53" s="46">
        <f>E53-B47</f>
        <v>-46.756999999999991</v>
      </c>
      <c r="H53" s="10"/>
      <c r="K53" s="23"/>
      <c r="L53" s="24"/>
      <c r="M53" s="34"/>
      <c r="N53" s="63"/>
    </row>
    <row r="54" spans="1:14">
      <c r="A54" s="42" t="s">
        <v>49</v>
      </c>
      <c r="B54" s="43">
        <v>1.7</v>
      </c>
      <c r="C54" s="44" t="s">
        <v>47</v>
      </c>
      <c r="D54" s="44" t="s">
        <v>47</v>
      </c>
      <c r="E54" s="45">
        <f>(B54-B42)*100</f>
        <v>-31.718999999999987</v>
      </c>
      <c r="F54" s="46">
        <f>E54-B47</f>
        <v>-40.843999999999987</v>
      </c>
      <c r="H54" s="10"/>
      <c r="K54" s="23"/>
      <c r="L54" s="23"/>
      <c r="M54" s="34"/>
      <c r="N54" s="63"/>
    </row>
    <row r="55" spans="1:14">
      <c r="A55" s="42" t="s">
        <v>50</v>
      </c>
      <c r="B55" s="43">
        <v>1.9</v>
      </c>
      <c r="C55" s="44" t="s">
        <v>47</v>
      </c>
      <c r="D55" s="44" t="s">
        <v>47</v>
      </c>
      <c r="E55" s="45">
        <f>F55+B47</f>
        <v>-23.25</v>
      </c>
      <c r="F55" s="46">
        <f>(B55-B43)*100</f>
        <v>-32.375</v>
      </c>
      <c r="H55" s="10"/>
      <c r="K55" s="23"/>
      <c r="L55" s="23"/>
      <c r="M55" s="34"/>
      <c r="N55" s="63"/>
    </row>
    <row r="56" spans="1:14" ht="16.5" thickBot="1">
      <c r="A56" s="47" t="s">
        <v>34</v>
      </c>
      <c r="B56" s="48">
        <v>2.1800000000000002</v>
      </c>
      <c r="C56" s="49" t="s">
        <v>47</v>
      </c>
      <c r="D56" s="49" t="s">
        <v>47</v>
      </c>
      <c r="E56" s="50">
        <f>(B56-B44)*100</f>
        <v>-13.870000000000005</v>
      </c>
      <c r="F56" s="51">
        <f>E56-B48</f>
        <v>-23.995000000000005</v>
      </c>
      <c r="H56" s="10"/>
    </row>
    <row r="57" spans="1:14" ht="16.5" thickBot="1">
      <c r="A57" s="52" t="s">
        <v>51</v>
      </c>
      <c r="B57" s="48"/>
      <c r="C57" s="6"/>
      <c r="D57" s="6"/>
      <c r="E57" s="6"/>
      <c r="F57" s="6"/>
    </row>
    <row r="58" spans="1:14" ht="16.5" thickBot="1">
      <c r="A58" s="38"/>
      <c r="B58" s="53" t="s">
        <v>41</v>
      </c>
      <c r="C58" s="53" t="s">
        <v>65</v>
      </c>
      <c r="D58" s="54" t="s">
        <v>52</v>
      </c>
      <c r="E58" s="6"/>
      <c r="F58" s="55"/>
    </row>
    <row r="59" spans="1:14">
      <c r="A59" s="42" t="s">
        <v>46</v>
      </c>
      <c r="B59" s="56">
        <f>B52</f>
        <v>1.25</v>
      </c>
      <c r="C59" s="74">
        <v>1.5</v>
      </c>
      <c r="D59" s="57">
        <f>(B59-C59)*100</f>
        <v>-25</v>
      </c>
      <c r="E59" s="6"/>
      <c r="F59" s="55"/>
    </row>
    <row r="60" spans="1:14">
      <c r="A60" s="42" t="s">
        <v>48</v>
      </c>
      <c r="B60" s="56">
        <f t="shared" ref="B60:B63" si="9">B53</f>
        <v>1.5</v>
      </c>
      <c r="C60" s="74">
        <v>1.8012822441136567</v>
      </c>
      <c r="D60" s="57">
        <f>(B60-C60)*100</f>
        <v>-30.128224411365668</v>
      </c>
      <c r="E60" s="6"/>
      <c r="F60" s="55"/>
    </row>
    <row r="61" spans="1:14">
      <c r="A61" s="42" t="s">
        <v>49</v>
      </c>
      <c r="B61" s="56">
        <f t="shared" si="9"/>
        <v>1.7</v>
      </c>
      <c r="C61" s="74">
        <v>2.0116943888618848</v>
      </c>
      <c r="D61" s="57">
        <f>(B61-C61)*100</f>
        <v>-31.169438886188484</v>
      </c>
      <c r="E61" s="6"/>
      <c r="F61" s="55"/>
    </row>
    <row r="62" spans="1:14">
      <c r="A62" s="42" t="s">
        <v>50</v>
      </c>
      <c r="B62" s="56">
        <f t="shared" si="9"/>
        <v>1.9</v>
      </c>
      <c r="C62" s="74">
        <v>2.1344804823424166</v>
      </c>
      <c r="D62" s="57">
        <f>(B62-C62)*100</f>
        <v>-23.448048234241668</v>
      </c>
      <c r="E62" s="6"/>
      <c r="F62" s="55"/>
    </row>
    <row r="63" spans="1:14" ht="16.5" thickBot="1">
      <c r="A63" s="47" t="s">
        <v>34</v>
      </c>
      <c r="B63" s="58">
        <f t="shared" si="9"/>
        <v>2.1800000000000002</v>
      </c>
      <c r="C63" s="75">
        <v>2.3023136149753034</v>
      </c>
      <c r="D63" s="59">
        <f>(B63-C63)*100</f>
        <v>-12.231361497530324</v>
      </c>
      <c r="E63" s="6"/>
      <c r="F63" s="55"/>
    </row>
    <row r="1203" spans="2:2">
      <c r="B1203" s="3" t="s">
        <v>63</v>
      </c>
    </row>
  </sheetData>
  <dataConsolidate/>
  <pageMargins left="0.7" right="0.7" top="0.75" bottom="0.75" header="0.3" footer="0.3"/>
  <pageSetup orientation="portrait" r:id="rId1"/>
  <ignoredErrors>
    <ignoredError sqref="E55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38"/>
  <sheetViews>
    <sheetView zoomScale="85" zoomScaleNormal="85" workbookViewId="0">
      <selection activeCell="H16" sqref="H16"/>
    </sheetView>
  </sheetViews>
  <sheetFormatPr defaultColWidth="9.140625" defaultRowHeight="15.75"/>
  <cols>
    <col min="1" max="1" width="15.85546875" style="3" customWidth="1"/>
    <col min="2" max="6" width="12.28515625" style="3" customWidth="1"/>
    <col min="7" max="8" width="12.28515625" style="6" customWidth="1"/>
    <col min="9" max="9" width="5.85546875" style="6" customWidth="1"/>
    <col min="10" max="10" width="4.28515625" style="6" customWidth="1"/>
    <col min="11" max="11" width="19.140625" style="6" customWidth="1"/>
    <col min="12" max="18" width="11.140625" style="6" customWidth="1"/>
    <col min="19" max="19" width="24.7109375" style="6" bestFit="1" customWidth="1"/>
    <col min="20" max="16384" width="9.140625" style="3"/>
  </cols>
  <sheetData>
    <row r="1" spans="1:24" ht="6.75" customHeight="1"/>
    <row r="2" spans="1:24" ht="45" customHeight="1"/>
    <row r="3" spans="1:24" ht="7.5" customHeight="1"/>
    <row r="4" spans="1:24" ht="29.25" customHeight="1">
      <c r="A4" s="1" t="s">
        <v>56</v>
      </c>
      <c r="D4" s="65">
        <f ca="1">Main!C4</f>
        <v>43159</v>
      </c>
      <c r="G4" s="4"/>
      <c r="H4" s="4"/>
      <c r="I4" s="4"/>
      <c r="J4" s="4"/>
      <c r="K4" s="4"/>
      <c r="L4" s="4"/>
      <c r="M4" s="5"/>
      <c r="N4" s="4"/>
      <c r="O4" s="4"/>
      <c r="P4" s="4"/>
      <c r="Q4" s="4"/>
      <c r="R4" s="4"/>
      <c r="S4" s="4"/>
      <c r="T4" s="4"/>
      <c r="U4" s="4"/>
    </row>
    <row r="5" spans="1:24" s="6" customFormat="1">
      <c r="A5" s="3"/>
      <c r="B5" s="3"/>
      <c r="C5" s="3"/>
      <c r="D5" s="3"/>
      <c r="E5" s="3"/>
      <c r="F5" s="3"/>
      <c r="G5" s="4"/>
      <c r="H5" s="4"/>
      <c r="I5" s="4"/>
      <c r="J5" s="4"/>
    </row>
    <row r="6" spans="1:24" s="6" customFormat="1">
      <c r="A6" s="7" t="s">
        <v>0</v>
      </c>
      <c r="B6" s="4"/>
      <c r="C6" s="4"/>
      <c r="K6" s="7" t="s">
        <v>0</v>
      </c>
      <c r="L6" s="3"/>
      <c r="M6" s="3"/>
      <c r="N6" s="3"/>
      <c r="O6" s="3"/>
      <c r="P6" s="3"/>
      <c r="R6" s="4"/>
      <c r="S6" s="15"/>
    </row>
    <row r="7" spans="1:24" s="6" customFormat="1">
      <c r="A7" s="1" t="s">
        <v>12</v>
      </c>
      <c r="B7" s="3"/>
      <c r="C7" s="3"/>
      <c r="D7" s="3"/>
      <c r="E7" s="3"/>
      <c r="F7" s="3"/>
      <c r="K7" s="1" t="s">
        <v>13</v>
      </c>
      <c r="L7" s="3"/>
      <c r="M7" s="3"/>
      <c r="N7" s="3"/>
      <c r="O7" s="3"/>
      <c r="P7" s="3"/>
      <c r="R7" s="4"/>
      <c r="S7" s="15"/>
    </row>
    <row r="8" spans="1:24" s="6" customFormat="1" ht="16.5" thickBot="1">
      <c r="A8" s="3"/>
      <c r="B8" s="8" t="s">
        <v>1</v>
      </c>
      <c r="C8" s="8" t="s">
        <v>2</v>
      </c>
      <c r="D8" s="8" t="s">
        <v>3</v>
      </c>
      <c r="E8" s="8" t="s">
        <v>4</v>
      </c>
      <c r="F8" s="8" t="s">
        <v>5</v>
      </c>
      <c r="G8" s="14" t="s">
        <v>58</v>
      </c>
      <c r="H8" s="14" t="s">
        <v>59</v>
      </c>
      <c r="L8" s="8" t="s">
        <v>1</v>
      </c>
      <c r="M8" s="8" t="s">
        <v>2</v>
      </c>
      <c r="N8" s="8" t="s">
        <v>3</v>
      </c>
      <c r="O8" s="8" t="s">
        <v>4</v>
      </c>
      <c r="P8" s="8" t="s">
        <v>5</v>
      </c>
      <c r="Q8" s="14" t="s">
        <v>58</v>
      </c>
      <c r="R8" s="14" t="s">
        <v>59</v>
      </c>
      <c r="S8" s="15"/>
    </row>
    <row r="9" spans="1:24" s="6" customFormat="1" ht="16.5" thickTop="1">
      <c r="A9" s="6" t="s">
        <v>10</v>
      </c>
      <c r="B9" s="208">
        <v>-1.8216011668057801</v>
      </c>
      <c r="C9" s="208">
        <v>2.4670768877536817</v>
      </c>
      <c r="D9" s="208">
        <v>11.551500742615243</v>
      </c>
      <c r="E9" s="208">
        <v>21.827299420964248</v>
      </c>
      <c r="F9" s="208">
        <v>59.120289710665858</v>
      </c>
      <c r="G9" s="208">
        <v>77.498055852692062</v>
      </c>
      <c r="H9" s="208">
        <v>91.875097183887704</v>
      </c>
      <c r="K9" s="6" t="s">
        <v>10</v>
      </c>
      <c r="L9" s="208">
        <v>-12.347451797195635</v>
      </c>
      <c r="M9" s="208">
        <v>-8.4059115744426602</v>
      </c>
      <c r="N9" s="208">
        <v>0.19610634183968312</v>
      </c>
      <c r="O9" s="208">
        <v>9.3395699578279103</v>
      </c>
      <c r="P9" s="208">
        <v>46.946624977871551</v>
      </c>
      <c r="Q9" s="208">
        <v>66.020579266228637</v>
      </c>
      <c r="R9" s="208">
        <v>80.829923397084769</v>
      </c>
      <c r="S9" s="15"/>
    </row>
    <row r="10" spans="1:24" s="6" customFormat="1">
      <c r="A10" s="6" t="s">
        <v>17</v>
      </c>
      <c r="B10" s="118">
        <v>-1.8</v>
      </c>
      <c r="C10" s="118">
        <v>-0.3</v>
      </c>
      <c r="D10" s="118">
        <v>8.8000000000000007</v>
      </c>
      <c r="E10" s="118">
        <v>18</v>
      </c>
      <c r="F10" s="118">
        <v>75.3</v>
      </c>
      <c r="G10" s="209">
        <v>85</v>
      </c>
      <c r="H10" s="118">
        <v>89.8</v>
      </c>
      <c r="K10" s="6" t="s">
        <v>17</v>
      </c>
      <c r="L10" s="208">
        <v>-12.7</v>
      </c>
      <c r="M10" s="208">
        <v>-11.4</v>
      </c>
      <c r="N10" s="208">
        <v>-2.7</v>
      </c>
      <c r="O10" s="208">
        <v>5.5</v>
      </c>
      <c r="P10" s="208">
        <v>63.3</v>
      </c>
      <c r="Q10" s="208">
        <v>73</v>
      </c>
      <c r="R10" s="208">
        <v>77.8</v>
      </c>
      <c r="S10" s="15"/>
    </row>
    <row r="11" spans="1:24" s="6" customFormat="1">
      <c r="A11" s="6" t="s">
        <v>18</v>
      </c>
      <c r="B11" s="208">
        <v>-4.1273452043152217</v>
      </c>
      <c r="C11" s="208">
        <v>-0.50951120724260912</v>
      </c>
      <c r="D11" s="208">
        <v>9.7082773276637937</v>
      </c>
      <c r="E11" s="208">
        <v>18.053414099811135</v>
      </c>
      <c r="F11" s="208">
        <v>71.252775390683624</v>
      </c>
      <c r="G11" s="208">
        <v>91.245713876624762</v>
      </c>
      <c r="H11" s="208">
        <v>106.16734089160727</v>
      </c>
      <c r="K11" s="6" t="s">
        <v>18</v>
      </c>
      <c r="L11" s="208">
        <v>-14.947345204315223</v>
      </c>
      <c r="M11" s="208">
        <v>-11.509511207242609</v>
      </c>
      <c r="N11" s="208">
        <v>-1.9167226723362063</v>
      </c>
      <c r="O11" s="208">
        <v>5.4909140998111354</v>
      </c>
      <c r="P11" s="208">
        <v>58.315275390683624</v>
      </c>
      <c r="Q11" s="208">
        <v>78.308213876624762</v>
      </c>
      <c r="R11" s="208">
        <v>93.229840891607267</v>
      </c>
      <c r="S11" s="15"/>
    </row>
    <row r="12" spans="1:24" s="6" customFormat="1">
      <c r="A12" s="6" t="s">
        <v>20</v>
      </c>
      <c r="B12" s="208">
        <v>-0.7</v>
      </c>
      <c r="C12" s="208">
        <v>1.9</v>
      </c>
      <c r="D12" s="208">
        <v>11</v>
      </c>
      <c r="E12" s="208">
        <v>20.5</v>
      </c>
      <c r="F12" s="208">
        <v>77.5</v>
      </c>
      <c r="G12" s="208">
        <v>97.5</v>
      </c>
      <c r="H12" s="208">
        <v>127.5</v>
      </c>
      <c r="K12" s="6" t="s">
        <v>20</v>
      </c>
      <c r="L12" s="208">
        <v>-11.1</v>
      </c>
      <c r="M12" s="208">
        <v>-8.6999999999999993</v>
      </c>
      <c r="N12" s="208">
        <v>-0.1</v>
      </c>
      <c r="O12" s="208">
        <v>8.5</v>
      </c>
      <c r="P12" s="208">
        <v>65.8</v>
      </c>
      <c r="Q12" s="208">
        <v>85.8</v>
      </c>
      <c r="R12" s="208">
        <v>115.8</v>
      </c>
      <c r="S12" s="15"/>
    </row>
    <row r="13" spans="1:24" s="6" customFormat="1">
      <c r="A13" s="11" t="s">
        <v>8</v>
      </c>
      <c r="B13" s="21">
        <f>AVERAGE(B9:B12)</f>
        <v>-2.1122365927802504</v>
      </c>
      <c r="C13" s="21">
        <f t="shared" ref="C13:H13" si="0">AVERAGE(C9:C12)</f>
        <v>0.88939142012776817</v>
      </c>
      <c r="D13" s="21">
        <f t="shared" si="0"/>
        <v>10.264944517569759</v>
      </c>
      <c r="E13" s="21">
        <f t="shared" si="0"/>
        <v>19.595178380193847</v>
      </c>
      <c r="F13" s="21">
        <f t="shared" si="0"/>
        <v>70.793266275337373</v>
      </c>
      <c r="G13" s="21">
        <f t="shared" si="0"/>
        <v>87.810942432329199</v>
      </c>
      <c r="H13" s="21">
        <f t="shared" si="0"/>
        <v>103.83560951887375</v>
      </c>
      <c r="K13" s="11" t="s">
        <v>8</v>
      </c>
      <c r="L13" s="21">
        <f>AVERAGE(L9:L12)</f>
        <v>-12.773699250377716</v>
      </c>
      <c r="M13" s="21">
        <f t="shared" ref="M13" si="1">AVERAGE(M9:M12)</f>
        <v>-10.003855695421318</v>
      </c>
      <c r="N13" s="21">
        <f t="shared" ref="N13" si="2">AVERAGE(N9:N12)</f>
        <v>-1.1301540826241308</v>
      </c>
      <c r="O13" s="21">
        <f t="shared" ref="O13" si="3">AVERAGE(O9:O12)</f>
        <v>7.2076210144097619</v>
      </c>
      <c r="P13" s="21">
        <f t="shared" ref="P13:R13" si="4">AVERAGE(P9:P12)</f>
        <v>58.590475092138789</v>
      </c>
      <c r="Q13" s="21">
        <f t="shared" si="4"/>
        <v>75.782198285713349</v>
      </c>
      <c r="R13" s="21">
        <f t="shared" si="4"/>
        <v>91.914941072173008</v>
      </c>
      <c r="S13" s="15"/>
    </row>
    <row r="14" spans="1:24" s="6" customFormat="1">
      <c r="K14" s="3"/>
      <c r="L14" s="73">
        <f>B13-L13</f>
        <v>10.661462657597465</v>
      </c>
      <c r="M14" s="73">
        <f t="shared" ref="M14:R14" si="5">C13-M13</f>
        <v>10.893247115549087</v>
      </c>
      <c r="N14" s="73">
        <f t="shared" si="5"/>
        <v>11.39509860019389</v>
      </c>
      <c r="O14" s="73">
        <f t="shared" si="5"/>
        <v>12.387557365784085</v>
      </c>
      <c r="P14" s="73">
        <f t="shared" si="5"/>
        <v>12.202791183198585</v>
      </c>
      <c r="Q14" s="73">
        <f t="shared" si="5"/>
        <v>12.02874414661585</v>
      </c>
      <c r="R14" s="73">
        <f t="shared" si="5"/>
        <v>11.920668446700745</v>
      </c>
      <c r="S14" s="15"/>
    </row>
    <row r="15" spans="1:24" s="6" customFormat="1">
      <c r="A15" s="7" t="s">
        <v>6</v>
      </c>
      <c r="B15" s="3"/>
      <c r="C15" s="3"/>
      <c r="D15" s="3"/>
      <c r="E15" s="3"/>
      <c r="F15" s="3"/>
      <c r="K15" s="7" t="s">
        <v>6</v>
      </c>
      <c r="L15" s="12"/>
      <c r="M15" s="13"/>
      <c r="N15" s="13"/>
      <c r="O15" s="13"/>
      <c r="P15" s="13"/>
      <c r="R15" s="4"/>
      <c r="S15" s="7" t="s">
        <v>6</v>
      </c>
      <c r="T15" s="12"/>
      <c r="U15" s="13"/>
      <c r="V15" s="13"/>
      <c r="W15" s="13"/>
      <c r="X15" s="13"/>
    </row>
    <row r="16" spans="1:24" s="6" customFormat="1">
      <c r="A16" s="1" t="s">
        <v>15</v>
      </c>
      <c r="B16" s="13"/>
      <c r="C16" s="13"/>
      <c r="D16" s="13"/>
      <c r="E16" s="13"/>
      <c r="F16" s="13"/>
      <c r="K16" s="1" t="s">
        <v>57</v>
      </c>
      <c r="L16" s="4"/>
      <c r="M16" s="4"/>
      <c r="R16" s="68"/>
      <c r="S16" s="1" t="s">
        <v>61</v>
      </c>
      <c r="T16" s="4"/>
      <c r="U16" s="4"/>
    </row>
    <row r="17" spans="1:25" s="6" customFormat="1" ht="16.5" thickBot="1">
      <c r="A17" s="3"/>
      <c r="B17" s="14" t="s">
        <v>1</v>
      </c>
      <c r="C17" s="14" t="s">
        <v>2</v>
      </c>
      <c r="D17" s="14" t="s">
        <v>3</v>
      </c>
      <c r="E17" s="14" t="s">
        <v>4</v>
      </c>
      <c r="F17" s="14" t="s">
        <v>5</v>
      </c>
      <c r="G17" s="14" t="s">
        <v>59</v>
      </c>
      <c r="K17" s="3"/>
      <c r="L17" s="14" t="s">
        <v>1</v>
      </c>
      <c r="M17" s="14" t="s">
        <v>2</v>
      </c>
      <c r="N17" s="14" t="s">
        <v>3</v>
      </c>
      <c r="O17" s="14" t="s">
        <v>4</v>
      </c>
      <c r="P17" s="14" t="s">
        <v>5</v>
      </c>
      <c r="Q17" s="14" t="s">
        <v>59</v>
      </c>
      <c r="R17" s="17"/>
      <c r="S17" s="3"/>
      <c r="T17" s="14" t="s">
        <v>1</v>
      </c>
      <c r="U17" s="14" t="s">
        <v>2</v>
      </c>
      <c r="V17" s="14" t="s">
        <v>3</v>
      </c>
      <c r="W17" s="14" t="s">
        <v>4</v>
      </c>
      <c r="X17" s="14" t="s">
        <v>5</v>
      </c>
      <c r="Y17" s="14" t="s">
        <v>59</v>
      </c>
    </row>
    <row r="18" spans="1:25" s="6" customFormat="1" ht="16.5" thickTop="1">
      <c r="A18" s="6" t="s">
        <v>10</v>
      </c>
      <c r="B18" s="208">
        <v>19.74356466791146</v>
      </c>
      <c r="C18" s="208">
        <v>19.372535161982661</v>
      </c>
      <c r="D18" s="208">
        <v>19.671910625354293</v>
      </c>
      <c r="E18" s="208">
        <v>30.960067218295137</v>
      </c>
      <c r="F18" s="208">
        <v>37.941929982153844</v>
      </c>
      <c r="G18" s="208">
        <v>110.88525243220863</v>
      </c>
      <c r="K18" s="6" t="s">
        <v>10</v>
      </c>
      <c r="L18" s="208">
        <v>-14.277391473503283</v>
      </c>
      <c r="M18" s="208">
        <v>-14.049227146013743</v>
      </c>
      <c r="N18" s="208">
        <v>-13.727344043881695</v>
      </c>
      <c r="O18" s="208">
        <v>-4.4475603113428788</v>
      </c>
      <c r="P18" s="208">
        <v>14.498154901947927</v>
      </c>
      <c r="Q18" s="208">
        <v>60.537862888362696</v>
      </c>
      <c r="R18" s="69"/>
      <c r="S18" s="6" t="s">
        <v>10</v>
      </c>
      <c r="T18" s="208">
        <v>-20.315452289798486</v>
      </c>
      <c r="U18" s="208">
        <v>-20.795796896607875</v>
      </c>
      <c r="V18" s="208">
        <v>-21.595499138200644</v>
      </c>
      <c r="W18" s="208">
        <v>-12.896977375387589</v>
      </c>
      <c r="X18" s="208">
        <v>9.9697186291092521</v>
      </c>
      <c r="Y18" s="208">
        <v>57.552672360152954</v>
      </c>
    </row>
    <row r="19" spans="1:25" s="6" customFormat="1">
      <c r="A19" s="6" t="s">
        <v>17</v>
      </c>
      <c r="B19" s="208">
        <v>16.899999999999999</v>
      </c>
      <c r="C19" s="208">
        <v>18</v>
      </c>
      <c r="D19" s="208">
        <v>20.9</v>
      </c>
      <c r="E19" s="208">
        <v>22.3</v>
      </c>
      <c r="F19" s="208">
        <v>18.100000000000001</v>
      </c>
      <c r="G19" s="208">
        <v>39.700000000000003</v>
      </c>
      <c r="H19" s="10"/>
      <c r="K19" s="6" t="s">
        <v>17</v>
      </c>
      <c r="L19" s="208">
        <v>-16.2</v>
      </c>
      <c r="M19" s="208">
        <v>-13.9</v>
      </c>
      <c r="N19" s="208">
        <v>-9.5</v>
      </c>
      <c r="O19" s="208">
        <v>-6.7</v>
      </c>
      <c r="P19" s="208">
        <v>10.7</v>
      </c>
      <c r="Q19" s="208">
        <v>36</v>
      </c>
      <c r="R19" s="69"/>
      <c r="S19" s="6" t="s">
        <v>17</v>
      </c>
      <c r="T19" s="118">
        <v>-22</v>
      </c>
      <c r="U19" s="118">
        <v>-20.427451463989577</v>
      </c>
      <c r="V19" s="118">
        <v>-17.2</v>
      </c>
      <c r="W19" s="118">
        <v>-14.9</v>
      </c>
      <c r="X19" s="118">
        <v>6.3</v>
      </c>
      <c r="Y19" s="118">
        <v>31</v>
      </c>
    </row>
    <row r="20" spans="1:25" s="6" customFormat="1">
      <c r="A20" s="6" t="s">
        <v>18</v>
      </c>
      <c r="B20" s="208">
        <v>16.7</v>
      </c>
      <c r="C20" s="208">
        <v>17.025000000000002</v>
      </c>
      <c r="D20" s="208">
        <v>18.799999999999997</v>
      </c>
      <c r="E20" s="208">
        <v>23.532782704916379</v>
      </c>
      <c r="F20" s="208">
        <v>15.803577905642456</v>
      </c>
      <c r="G20" s="208">
        <v>36.41012662623821</v>
      </c>
      <c r="H20" s="10"/>
      <c r="K20" s="6" t="s">
        <v>18</v>
      </c>
      <c r="L20" s="208">
        <v>-15.425000000000001</v>
      </c>
      <c r="M20" s="208">
        <v>-13.849999999999998</v>
      </c>
      <c r="N20" s="208">
        <v>-10.700000000000003</v>
      </c>
      <c r="O20" s="208">
        <v>-4.9047172950836213</v>
      </c>
      <c r="P20" s="208">
        <v>7.3035779056424559</v>
      </c>
      <c r="Q20" s="208">
        <v>25.66012662623821</v>
      </c>
      <c r="R20" s="69"/>
      <c r="S20" s="6" t="s">
        <v>18</v>
      </c>
      <c r="T20" s="208">
        <v>-21.25</v>
      </c>
      <c r="U20" s="208">
        <v>-20.399999999999999</v>
      </c>
      <c r="V20" s="208">
        <v>-18.400000000000002</v>
      </c>
      <c r="W20" s="208">
        <v>-13.154717295083621</v>
      </c>
      <c r="X20" s="208">
        <v>2.9535779056424558</v>
      </c>
      <c r="Y20" s="208">
        <v>22.760126626238211</v>
      </c>
    </row>
    <row r="21" spans="1:25" s="6" customFormat="1">
      <c r="A21" s="6" t="s">
        <v>20</v>
      </c>
      <c r="B21" s="208">
        <v>18</v>
      </c>
      <c r="C21" s="208">
        <v>20</v>
      </c>
      <c r="D21" s="208">
        <v>21</v>
      </c>
      <c r="E21" s="208">
        <v>25</v>
      </c>
      <c r="F21" s="208">
        <v>29</v>
      </c>
      <c r="G21" s="208">
        <v>42</v>
      </c>
      <c r="H21" s="10"/>
      <c r="K21" s="6" t="s">
        <v>20</v>
      </c>
      <c r="L21" s="210">
        <v>-15</v>
      </c>
      <c r="M21" s="210">
        <v>-11</v>
      </c>
      <c r="N21" s="210">
        <v>-9</v>
      </c>
      <c r="O21" s="210">
        <v>-4</v>
      </c>
      <c r="P21" s="210">
        <v>12</v>
      </c>
      <c r="Q21" s="208">
        <v>32</v>
      </c>
      <c r="R21" s="69"/>
      <c r="S21" s="6" t="s">
        <v>20</v>
      </c>
      <c r="T21" s="210">
        <v>-21</v>
      </c>
      <c r="U21" s="210">
        <v>-19</v>
      </c>
      <c r="V21" s="210">
        <v>-17</v>
      </c>
      <c r="W21" s="210">
        <v>-13</v>
      </c>
      <c r="X21" s="210">
        <v>8</v>
      </c>
      <c r="Y21" s="208">
        <v>28</v>
      </c>
    </row>
    <row r="22" spans="1:25" s="6" customFormat="1">
      <c r="A22" s="6" t="s">
        <v>60</v>
      </c>
      <c r="B22" s="118">
        <v>13.575000000000003</v>
      </c>
      <c r="C22" s="118">
        <v>15.525000000000002</v>
      </c>
      <c r="D22" s="118">
        <v>19.474999999999998</v>
      </c>
      <c r="E22" s="118">
        <v>23.875</v>
      </c>
      <c r="F22" s="118">
        <v>18.875</v>
      </c>
      <c r="G22" s="118">
        <v>49.55</v>
      </c>
      <c r="H22" s="10"/>
      <c r="K22" s="6" t="s">
        <v>60</v>
      </c>
      <c r="L22" s="118">
        <v>-18.549999999999997</v>
      </c>
      <c r="M22" s="118">
        <v>-15.349999999999998</v>
      </c>
      <c r="N22" s="118">
        <v>-9.9000000000000021</v>
      </c>
      <c r="O22" s="118">
        <v>-4</v>
      </c>
      <c r="P22" s="118">
        <v>10.25</v>
      </c>
      <c r="Q22" s="118">
        <v>38.799999999999997</v>
      </c>
      <c r="R22" s="69"/>
      <c r="S22" s="6" t="s">
        <v>60</v>
      </c>
      <c r="T22" s="118">
        <v>-24.4</v>
      </c>
      <c r="U22" s="118">
        <v>-21.9</v>
      </c>
      <c r="V22" s="118">
        <v>-17.600000000000001</v>
      </c>
      <c r="W22" s="118">
        <v>-12.2</v>
      </c>
      <c r="X22" s="118">
        <v>5.9</v>
      </c>
      <c r="Y22" s="118">
        <v>35.9</v>
      </c>
    </row>
    <row r="23" spans="1:25" s="6" customFormat="1">
      <c r="A23" s="11" t="s">
        <v>8</v>
      </c>
      <c r="B23" s="21">
        <f>AVERAGE(B18:B22)</f>
        <v>16.983712933582293</v>
      </c>
      <c r="C23" s="21">
        <f t="shared" ref="C23:G23" si="6">AVERAGE(C18:C22)</f>
        <v>17.984507032396532</v>
      </c>
      <c r="D23" s="21">
        <f t="shared" si="6"/>
        <v>19.969382125070858</v>
      </c>
      <c r="E23" s="21">
        <f t="shared" si="6"/>
        <v>25.133569984642303</v>
      </c>
      <c r="F23" s="21">
        <f t="shared" si="6"/>
        <v>23.944101577559259</v>
      </c>
      <c r="G23" s="21">
        <f t="shared" si="6"/>
        <v>55.709075811689367</v>
      </c>
      <c r="H23" s="10"/>
      <c r="K23" s="11" t="s">
        <v>8</v>
      </c>
      <c r="L23" s="21">
        <f>AVERAGE(L18:L22)</f>
        <v>-15.890478294700657</v>
      </c>
      <c r="M23" s="21">
        <f t="shared" ref="M23:Q23" si="7">AVERAGE(M18:M22)</f>
        <v>-13.629845429202749</v>
      </c>
      <c r="N23" s="21">
        <f t="shared" si="7"/>
        <v>-10.565468808776339</v>
      </c>
      <c r="O23" s="21">
        <f t="shared" si="7"/>
        <v>-4.8104555212853004</v>
      </c>
      <c r="P23" s="21">
        <f t="shared" si="7"/>
        <v>10.950346561518078</v>
      </c>
      <c r="Q23" s="21">
        <f t="shared" si="7"/>
        <v>38.599597902920188</v>
      </c>
      <c r="R23" s="70"/>
      <c r="S23" s="11" t="s">
        <v>8</v>
      </c>
      <c r="T23" s="21">
        <f>AVERAGE(T18:T22)</f>
        <v>-21.7930904579597</v>
      </c>
      <c r="U23" s="21">
        <f t="shared" ref="U23:Y23" si="8">AVERAGE(U18:U22)</f>
        <v>-20.504649672119491</v>
      </c>
      <c r="V23" s="21">
        <f t="shared" si="8"/>
        <v>-18.359099827640129</v>
      </c>
      <c r="W23" s="21">
        <f t="shared" si="8"/>
        <v>-13.230338934094243</v>
      </c>
      <c r="X23" s="21">
        <f t="shared" si="8"/>
        <v>6.6246593069503419</v>
      </c>
      <c r="Y23" s="21">
        <f t="shared" si="8"/>
        <v>35.04255979727823</v>
      </c>
    </row>
    <row r="24" spans="1:25" s="6" customFormat="1">
      <c r="B24" s="72"/>
      <c r="C24" s="72"/>
      <c r="D24" s="72"/>
      <c r="E24" s="72"/>
      <c r="F24" s="72"/>
      <c r="G24" s="72"/>
      <c r="H24" s="10"/>
      <c r="L24" s="72"/>
      <c r="M24" s="72"/>
      <c r="N24" s="72"/>
      <c r="O24" s="72"/>
      <c r="P24" s="72"/>
      <c r="Q24" s="72"/>
      <c r="R24" s="70"/>
      <c r="T24" s="72">
        <f>L23-T23</f>
        <v>5.9026121632590431</v>
      </c>
      <c r="U24" s="72">
        <f t="shared" ref="U24:Y24" si="9">M23-U23</f>
        <v>6.874804242916742</v>
      </c>
      <c r="V24" s="72">
        <f t="shared" si="9"/>
        <v>7.7936310188637901</v>
      </c>
      <c r="W24" s="72">
        <f t="shared" si="9"/>
        <v>8.419883412808943</v>
      </c>
      <c r="X24" s="72">
        <f t="shared" si="9"/>
        <v>4.3256872545677361</v>
      </c>
      <c r="Y24" s="72">
        <f t="shared" si="9"/>
        <v>3.5570381056419578</v>
      </c>
    </row>
    <row r="25" spans="1:25" s="6" customFormat="1">
      <c r="A25" s="7" t="s">
        <v>7</v>
      </c>
      <c r="B25" s="4"/>
      <c r="C25" s="4"/>
      <c r="K25" s="7" t="s">
        <v>7</v>
      </c>
      <c r="L25" s="3"/>
      <c r="M25" s="3"/>
      <c r="N25" s="3"/>
      <c r="O25" s="3"/>
      <c r="P25" s="13" t="s">
        <v>9</v>
      </c>
      <c r="R25" s="4"/>
      <c r="S25" s="15"/>
    </row>
    <row r="26" spans="1:25" s="6" customFormat="1">
      <c r="A26" s="1" t="s">
        <v>15</v>
      </c>
      <c r="B26" s="13"/>
      <c r="C26" s="13"/>
      <c r="D26" s="13"/>
      <c r="E26" s="13"/>
      <c r="K26" s="1" t="s">
        <v>14</v>
      </c>
      <c r="L26" s="13"/>
      <c r="M26" s="13"/>
      <c r="N26" s="13"/>
      <c r="O26" s="13"/>
      <c r="P26" s="13"/>
      <c r="R26" s="4"/>
      <c r="S26" s="15"/>
    </row>
    <row r="27" spans="1:25" s="6" customFormat="1" ht="16.5" thickBot="1">
      <c r="A27" s="3"/>
      <c r="B27" s="14" t="s">
        <v>1</v>
      </c>
      <c r="C27" s="14" t="s">
        <v>2</v>
      </c>
      <c r="D27" s="14" t="s">
        <v>3</v>
      </c>
      <c r="E27" s="14" t="s">
        <v>4</v>
      </c>
      <c r="K27" s="3"/>
      <c r="L27" s="14" t="s">
        <v>1</v>
      </c>
      <c r="M27" s="14" t="s">
        <v>2</v>
      </c>
      <c r="N27" s="14" t="s">
        <v>3</v>
      </c>
      <c r="O27" s="14" t="s">
        <v>4</v>
      </c>
      <c r="P27" s="16"/>
      <c r="Q27" s="2"/>
      <c r="R27" s="4"/>
      <c r="S27" s="15"/>
      <c r="T27" s="118"/>
      <c r="U27" s="118"/>
      <c r="V27" s="118"/>
      <c r="W27" s="118"/>
      <c r="X27" s="118"/>
      <c r="Y27" s="118"/>
    </row>
    <row r="28" spans="1:25" s="6" customFormat="1" ht="16.5" thickTop="1">
      <c r="A28" s="6" t="s">
        <v>11</v>
      </c>
      <c r="B28" s="22">
        <v>18.987056205446304</v>
      </c>
      <c r="C28" s="22">
        <v>24.645989823358974</v>
      </c>
      <c r="D28" s="22">
        <v>30.882649478298891</v>
      </c>
      <c r="E28" s="119">
        <v>44.572080664068572</v>
      </c>
      <c r="F28" s="22"/>
      <c r="G28" s="22"/>
      <c r="K28" s="6" t="s">
        <v>11</v>
      </c>
      <c r="L28" s="22">
        <v>-34.763003794553697</v>
      </c>
      <c r="M28" s="22">
        <v>-31.667080176641026</v>
      </c>
      <c r="N28" s="22">
        <v>-28.494130521701109</v>
      </c>
      <c r="O28" s="119">
        <v>-16.184909335931426</v>
      </c>
      <c r="P28" s="22"/>
      <c r="Q28" s="22"/>
      <c r="R28" s="4"/>
    </row>
    <row r="29" spans="1:25" s="6" customFormat="1">
      <c r="A29" s="6" t="s">
        <v>62</v>
      </c>
      <c r="B29"/>
      <c r="C29"/>
      <c r="D29"/>
      <c r="E29"/>
      <c r="F29" s="22"/>
      <c r="G29" s="22"/>
      <c r="K29" s="6" t="s">
        <v>62</v>
      </c>
      <c r="L29"/>
      <c r="M29"/>
      <c r="N29"/>
      <c r="O29"/>
      <c r="P29" s="22"/>
      <c r="Q29" s="22"/>
      <c r="R29" s="4"/>
    </row>
    <row r="30" spans="1:25" s="6" customFormat="1">
      <c r="A30" s="6" t="s">
        <v>16</v>
      </c>
      <c r="B30" s="208">
        <v>54.719704000000007</v>
      </c>
      <c r="C30" s="208">
        <v>55.990667089999995</v>
      </c>
      <c r="D30" s="208">
        <v>54.566924999999998</v>
      </c>
      <c r="E30" s="208">
        <v>55.733975000000001</v>
      </c>
      <c r="F30" s="208"/>
      <c r="G30" s="208"/>
      <c r="K30" s="6" t="s">
        <v>16</v>
      </c>
      <c r="L30" s="208">
        <v>-0.64999999999999991</v>
      </c>
      <c r="M30" s="208">
        <v>-2.4670000000000023</v>
      </c>
      <c r="N30" s="208">
        <v>-7.9999999999999991</v>
      </c>
      <c r="O30" s="208">
        <v>-11.649999999999999</v>
      </c>
      <c r="P30" s="208"/>
      <c r="Q30" s="208"/>
      <c r="R30" s="4"/>
      <c r="S30" s="15"/>
    </row>
    <row r="31" spans="1:25" s="6" customFormat="1">
      <c r="A31" s="11" t="s">
        <v>8</v>
      </c>
      <c r="B31" s="21">
        <f>AVERAGE(B28:B30)</f>
        <v>36.853380102723158</v>
      </c>
      <c r="C31" s="21">
        <f>AVERAGE(C28:C30)</f>
        <v>40.318328456679481</v>
      </c>
      <c r="D31" s="21">
        <f>AVERAGE(D28:D30)</f>
        <v>42.724787239149443</v>
      </c>
      <c r="E31" s="21">
        <f>AVERAGE(E28:E30)</f>
        <v>50.153027832034283</v>
      </c>
      <c r="K31" s="11" t="s">
        <v>8</v>
      </c>
      <c r="L31" s="21">
        <f>AVERAGE(L28:L30)</f>
        <v>-17.706501897276848</v>
      </c>
      <c r="M31" s="21">
        <f>AVERAGE(M28:M30)</f>
        <v>-17.067040088320514</v>
      </c>
      <c r="N31" s="21">
        <f>AVERAGE(N28:N30)</f>
        <v>-18.247065260850555</v>
      </c>
      <c r="O31" s="21">
        <f>AVERAGE(O28:O30)</f>
        <v>-13.917454667965712</v>
      </c>
      <c r="P31" s="17"/>
      <c r="Q31" s="2"/>
      <c r="R31" s="4"/>
      <c r="S31" s="15"/>
    </row>
    <row r="32" spans="1:25" s="6" customFormat="1">
      <c r="A32" s="4"/>
      <c r="B32" s="4"/>
      <c r="C32" s="4"/>
      <c r="K32" s="3"/>
      <c r="L32" s="18"/>
      <c r="M32" s="19"/>
      <c r="N32" s="19"/>
      <c r="O32" s="19"/>
      <c r="P32" s="19"/>
      <c r="R32" s="4"/>
      <c r="S32" s="15"/>
    </row>
    <row r="33" spans="2:2" s="6" customFormat="1"/>
    <row r="38" spans="2:2">
      <c r="B38" s="3">
        <f>_xll.BDP("US00O/N Index","PX_last")</f>
        <v>1.4424999999999999</v>
      </c>
    </row>
  </sheetData>
  <dataConsolidate/>
  <phoneticPr fontId="0" type="noConversion"/>
  <pageMargins left="0.2" right="0.2" top="0.48" bottom="0.3" header="0.5" footer="0.5"/>
  <pageSetup scale="60" orientation="landscape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47"/>
  <sheetViews>
    <sheetView workbookViewId="0">
      <selection activeCell="I7" sqref="I7"/>
    </sheetView>
  </sheetViews>
  <sheetFormatPr defaultRowHeight="15.75"/>
  <cols>
    <col min="1" max="1" width="27" style="3" customWidth="1"/>
    <col min="2" max="5" width="20.7109375" style="3" customWidth="1"/>
    <col min="6" max="7" width="11.42578125" style="3" bestFit="1" customWidth="1"/>
    <col min="8" max="8" width="13.140625" style="3" customWidth="1"/>
    <col min="9" max="256" width="9.140625" style="3"/>
    <col min="257" max="257" width="27" style="3" customWidth="1"/>
    <col min="258" max="261" width="20.7109375" style="3" customWidth="1"/>
    <col min="262" max="263" width="11.42578125" style="3" bestFit="1" customWidth="1"/>
    <col min="264" max="264" width="13.140625" style="3" customWidth="1"/>
    <col min="265" max="512" width="9.140625" style="3"/>
    <col min="513" max="513" width="27" style="3" customWidth="1"/>
    <col min="514" max="517" width="20.7109375" style="3" customWidth="1"/>
    <col min="518" max="519" width="11.42578125" style="3" bestFit="1" customWidth="1"/>
    <col min="520" max="520" width="13.140625" style="3" customWidth="1"/>
    <col min="521" max="768" width="9.140625" style="3"/>
    <col min="769" max="769" width="27" style="3" customWidth="1"/>
    <col min="770" max="773" width="20.7109375" style="3" customWidth="1"/>
    <col min="774" max="775" width="11.42578125" style="3" bestFit="1" customWidth="1"/>
    <col min="776" max="776" width="13.140625" style="3" customWidth="1"/>
    <col min="777" max="1024" width="9.140625" style="3"/>
    <col min="1025" max="1025" width="27" style="3" customWidth="1"/>
    <col min="1026" max="1029" width="20.7109375" style="3" customWidth="1"/>
    <col min="1030" max="1031" width="11.42578125" style="3" bestFit="1" customWidth="1"/>
    <col min="1032" max="1032" width="13.140625" style="3" customWidth="1"/>
    <col min="1033" max="1280" width="9.140625" style="3"/>
    <col min="1281" max="1281" width="27" style="3" customWidth="1"/>
    <col min="1282" max="1285" width="20.7109375" style="3" customWidth="1"/>
    <col min="1286" max="1287" width="11.42578125" style="3" bestFit="1" customWidth="1"/>
    <col min="1288" max="1288" width="13.140625" style="3" customWidth="1"/>
    <col min="1289" max="1536" width="9.140625" style="3"/>
    <col min="1537" max="1537" width="27" style="3" customWidth="1"/>
    <col min="1538" max="1541" width="20.7109375" style="3" customWidth="1"/>
    <col min="1542" max="1543" width="11.42578125" style="3" bestFit="1" customWidth="1"/>
    <col min="1544" max="1544" width="13.140625" style="3" customWidth="1"/>
    <col min="1545" max="1792" width="9.140625" style="3"/>
    <col min="1793" max="1793" width="27" style="3" customWidth="1"/>
    <col min="1794" max="1797" width="20.7109375" style="3" customWidth="1"/>
    <col min="1798" max="1799" width="11.42578125" style="3" bestFit="1" customWidth="1"/>
    <col min="1800" max="1800" width="13.140625" style="3" customWidth="1"/>
    <col min="1801" max="2048" width="9.140625" style="3"/>
    <col min="2049" max="2049" width="27" style="3" customWidth="1"/>
    <col min="2050" max="2053" width="20.7109375" style="3" customWidth="1"/>
    <col min="2054" max="2055" width="11.42578125" style="3" bestFit="1" customWidth="1"/>
    <col min="2056" max="2056" width="13.140625" style="3" customWidth="1"/>
    <col min="2057" max="2304" width="9.140625" style="3"/>
    <col min="2305" max="2305" width="27" style="3" customWidth="1"/>
    <col min="2306" max="2309" width="20.7109375" style="3" customWidth="1"/>
    <col min="2310" max="2311" width="11.42578125" style="3" bestFit="1" customWidth="1"/>
    <col min="2312" max="2312" width="13.140625" style="3" customWidth="1"/>
    <col min="2313" max="2560" width="9.140625" style="3"/>
    <col min="2561" max="2561" width="27" style="3" customWidth="1"/>
    <col min="2562" max="2565" width="20.7109375" style="3" customWidth="1"/>
    <col min="2566" max="2567" width="11.42578125" style="3" bestFit="1" customWidth="1"/>
    <col min="2568" max="2568" width="13.140625" style="3" customWidth="1"/>
    <col min="2569" max="2816" width="9.140625" style="3"/>
    <col min="2817" max="2817" width="27" style="3" customWidth="1"/>
    <col min="2818" max="2821" width="20.7109375" style="3" customWidth="1"/>
    <col min="2822" max="2823" width="11.42578125" style="3" bestFit="1" customWidth="1"/>
    <col min="2824" max="2824" width="13.140625" style="3" customWidth="1"/>
    <col min="2825" max="3072" width="9.140625" style="3"/>
    <col min="3073" max="3073" width="27" style="3" customWidth="1"/>
    <col min="3074" max="3077" width="20.7109375" style="3" customWidth="1"/>
    <col min="3078" max="3079" width="11.42578125" style="3" bestFit="1" customWidth="1"/>
    <col min="3080" max="3080" width="13.140625" style="3" customWidth="1"/>
    <col min="3081" max="3328" width="9.140625" style="3"/>
    <col min="3329" max="3329" width="27" style="3" customWidth="1"/>
    <col min="3330" max="3333" width="20.7109375" style="3" customWidth="1"/>
    <col min="3334" max="3335" width="11.42578125" style="3" bestFit="1" customWidth="1"/>
    <col min="3336" max="3336" width="13.140625" style="3" customWidth="1"/>
    <col min="3337" max="3584" width="9.140625" style="3"/>
    <col min="3585" max="3585" width="27" style="3" customWidth="1"/>
    <col min="3586" max="3589" width="20.7109375" style="3" customWidth="1"/>
    <col min="3590" max="3591" width="11.42578125" style="3" bestFit="1" customWidth="1"/>
    <col min="3592" max="3592" width="13.140625" style="3" customWidth="1"/>
    <col min="3593" max="3840" width="9.140625" style="3"/>
    <col min="3841" max="3841" width="27" style="3" customWidth="1"/>
    <col min="3842" max="3845" width="20.7109375" style="3" customWidth="1"/>
    <col min="3846" max="3847" width="11.42578125" style="3" bestFit="1" customWidth="1"/>
    <col min="3848" max="3848" width="13.140625" style="3" customWidth="1"/>
    <col min="3849" max="4096" width="9.140625" style="3"/>
    <col min="4097" max="4097" width="27" style="3" customWidth="1"/>
    <col min="4098" max="4101" width="20.7109375" style="3" customWidth="1"/>
    <col min="4102" max="4103" width="11.42578125" style="3" bestFit="1" customWidth="1"/>
    <col min="4104" max="4104" width="13.140625" style="3" customWidth="1"/>
    <col min="4105" max="4352" width="9.140625" style="3"/>
    <col min="4353" max="4353" width="27" style="3" customWidth="1"/>
    <col min="4354" max="4357" width="20.7109375" style="3" customWidth="1"/>
    <col min="4358" max="4359" width="11.42578125" style="3" bestFit="1" customWidth="1"/>
    <col min="4360" max="4360" width="13.140625" style="3" customWidth="1"/>
    <col min="4361" max="4608" width="9.140625" style="3"/>
    <col min="4609" max="4609" width="27" style="3" customWidth="1"/>
    <col min="4610" max="4613" width="20.7109375" style="3" customWidth="1"/>
    <col min="4614" max="4615" width="11.42578125" style="3" bestFit="1" customWidth="1"/>
    <col min="4616" max="4616" width="13.140625" style="3" customWidth="1"/>
    <col min="4617" max="4864" width="9.140625" style="3"/>
    <col min="4865" max="4865" width="27" style="3" customWidth="1"/>
    <col min="4866" max="4869" width="20.7109375" style="3" customWidth="1"/>
    <col min="4870" max="4871" width="11.42578125" style="3" bestFit="1" customWidth="1"/>
    <col min="4872" max="4872" width="13.140625" style="3" customWidth="1"/>
    <col min="4873" max="5120" width="9.140625" style="3"/>
    <col min="5121" max="5121" width="27" style="3" customWidth="1"/>
    <col min="5122" max="5125" width="20.7109375" style="3" customWidth="1"/>
    <col min="5126" max="5127" width="11.42578125" style="3" bestFit="1" customWidth="1"/>
    <col min="5128" max="5128" width="13.140625" style="3" customWidth="1"/>
    <col min="5129" max="5376" width="9.140625" style="3"/>
    <col min="5377" max="5377" width="27" style="3" customWidth="1"/>
    <col min="5378" max="5381" width="20.7109375" style="3" customWidth="1"/>
    <col min="5382" max="5383" width="11.42578125" style="3" bestFit="1" customWidth="1"/>
    <col min="5384" max="5384" width="13.140625" style="3" customWidth="1"/>
    <col min="5385" max="5632" width="9.140625" style="3"/>
    <col min="5633" max="5633" width="27" style="3" customWidth="1"/>
    <col min="5634" max="5637" width="20.7109375" style="3" customWidth="1"/>
    <col min="5638" max="5639" width="11.42578125" style="3" bestFit="1" customWidth="1"/>
    <col min="5640" max="5640" width="13.140625" style="3" customWidth="1"/>
    <col min="5641" max="5888" width="9.140625" style="3"/>
    <col min="5889" max="5889" width="27" style="3" customWidth="1"/>
    <col min="5890" max="5893" width="20.7109375" style="3" customWidth="1"/>
    <col min="5894" max="5895" width="11.42578125" style="3" bestFit="1" customWidth="1"/>
    <col min="5896" max="5896" width="13.140625" style="3" customWidth="1"/>
    <col min="5897" max="6144" width="9.140625" style="3"/>
    <col min="6145" max="6145" width="27" style="3" customWidth="1"/>
    <col min="6146" max="6149" width="20.7109375" style="3" customWidth="1"/>
    <col min="6150" max="6151" width="11.42578125" style="3" bestFit="1" customWidth="1"/>
    <col min="6152" max="6152" width="13.140625" style="3" customWidth="1"/>
    <col min="6153" max="6400" width="9.140625" style="3"/>
    <col min="6401" max="6401" width="27" style="3" customWidth="1"/>
    <col min="6402" max="6405" width="20.7109375" style="3" customWidth="1"/>
    <col min="6406" max="6407" width="11.42578125" style="3" bestFit="1" customWidth="1"/>
    <col min="6408" max="6408" width="13.140625" style="3" customWidth="1"/>
    <col min="6409" max="6656" width="9.140625" style="3"/>
    <col min="6657" max="6657" width="27" style="3" customWidth="1"/>
    <col min="6658" max="6661" width="20.7109375" style="3" customWidth="1"/>
    <col min="6662" max="6663" width="11.42578125" style="3" bestFit="1" customWidth="1"/>
    <col min="6664" max="6664" width="13.140625" style="3" customWidth="1"/>
    <col min="6665" max="6912" width="9.140625" style="3"/>
    <col min="6913" max="6913" width="27" style="3" customWidth="1"/>
    <col min="6914" max="6917" width="20.7109375" style="3" customWidth="1"/>
    <col min="6918" max="6919" width="11.42578125" style="3" bestFit="1" customWidth="1"/>
    <col min="6920" max="6920" width="13.140625" style="3" customWidth="1"/>
    <col min="6921" max="7168" width="9.140625" style="3"/>
    <col min="7169" max="7169" width="27" style="3" customWidth="1"/>
    <col min="7170" max="7173" width="20.7109375" style="3" customWidth="1"/>
    <col min="7174" max="7175" width="11.42578125" style="3" bestFit="1" customWidth="1"/>
    <col min="7176" max="7176" width="13.140625" style="3" customWidth="1"/>
    <col min="7177" max="7424" width="9.140625" style="3"/>
    <col min="7425" max="7425" width="27" style="3" customWidth="1"/>
    <col min="7426" max="7429" width="20.7109375" style="3" customWidth="1"/>
    <col min="7430" max="7431" width="11.42578125" style="3" bestFit="1" customWidth="1"/>
    <col min="7432" max="7432" width="13.140625" style="3" customWidth="1"/>
    <col min="7433" max="7680" width="9.140625" style="3"/>
    <col min="7681" max="7681" width="27" style="3" customWidth="1"/>
    <col min="7682" max="7685" width="20.7109375" style="3" customWidth="1"/>
    <col min="7686" max="7687" width="11.42578125" style="3" bestFit="1" customWidth="1"/>
    <col min="7688" max="7688" width="13.140625" style="3" customWidth="1"/>
    <col min="7689" max="7936" width="9.140625" style="3"/>
    <col min="7937" max="7937" width="27" style="3" customWidth="1"/>
    <col min="7938" max="7941" width="20.7109375" style="3" customWidth="1"/>
    <col min="7942" max="7943" width="11.42578125" style="3" bestFit="1" customWidth="1"/>
    <col min="7944" max="7944" width="13.140625" style="3" customWidth="1"/>
    <col min="7945" max="8192" width="9.140625" style="3"/>
    <col min="8193" max="8193" width="27" style="3" customWidth="1"/>
    <col min="8194" max="8197" width="20.7109375" style="3" customWidth="1"/>
    <col min="8198" max="8199" width="11.42578125" style="3" bestFit="1" customWidth="1"/>
    <col min="8200" max="8200" width="13.140625" style="3" customWidth="1"/>
    <col min="8201" max="8448" width="9.140625" style="3"/>
    <col min="8449" max="8449" width="27" style="3" customWidth="1"/>
    <col min="8450" max="8453" width="20.7109375" style="3" customWidth="1"/>
    <col min="8454" max="8455" width="11.42578125" style="3" bestFit="1" customWidth="1"/>
    <col min="8456" max="8456" width="13.140625" style="3" customWidth="1"/>
    <col min="8457" max="8704" width="9.140625" style="3"/>
    <col min="8705" max="8705" width="27" style="3" customWidth="1"/>
    <col min="8706" max="8709" width="20.7109375" style="3" customWidth="1"/>
    <col min="8710" max="8711" width="11.42578125" style="3" bestFit="1" customWidth="1"/>
    <col min="8712" max="8712" width="13.140625" style="3" customWidth="1"/>
    <col min="8713" max="8960" width="9.140625" style="3"/>
    <col min="8961" max="8961" width="27" style="3" customWidth="1"/>
    <col min="8962" max="8965" width="20.7109375" style="3" customWidth="1"/>
    <col min="8966" max="8967" width="11.42578125" style="3" bestFit="1" customWidth="1"/>
    <col min="8968" max="8968" width="13.140625" style="3" customWidth="1"/>
    <col min="8969" max="9216" width="9.140625" style="3"/>
    <col min="9217" max="9217" width="27" style="3" customWidth="1"/>
    <col min="9218" max="9221" width="20.7109375" style="3" customWidth="1"/>
    <col min="9222" max="9223" width="11.42578125" style="3" bestFit="1" customWidth="1"/>
    <col min="9224" max="9224" width="13.140625" style="3" customWidth="1"/>
    <col min="9225" max="9472" width="9.140625" style="3"/>
    <col min="9473" max="9473" width="27" style="3" customWidth="1"/>
    <col min="9474" max="9477" width="20.7109375" style="3" customWidth="1"/>
    <col min="9478" max="9479" width="11.42578125" style="3" bestFit="1" customWidth="1"/>
    <col min="9480" max="9480" width="13.140625" style="3" customWidth="1"/>
    <col min="9481" max="9728" width="9.140625" style="3"/>
    <col min="9729" max="9729" width="27" style="3" customWidth="1"/>
    <col min="9730" max="9733" width="20.7109375" style="3" customWidth="1"/>
    <col min="9734" max="9735" width="11.42578125" style="3" bestFit="1" customWidth="1"/>
    <col min="9736" max="9736" width="13.140625" style="3" customWidth="1"/>
    <col min="9737" max="9984" width="9.140625" style="3"/>
    <col min="9985" max="9985" width="27" style="3" customWidth="1"/>
    <col min="9986" max="9989" width="20.7109375" style="3" customWidth="1"/>
    <col min="9990" max="9991" width="11.42578125" style="3" bestFit="1" customWidth="1"/>
    <col min="9992" max="9992" width="13.140625" style="3" customWidth="1"/>
    <col min="9993" max="10240" width="9.140625" style="3"/>
    <col min="10241" max="10241" width="27" style="3" customWidth="1"/>
    <col min="10242" max="10245" width="20.7109375" style="3" customWidth="1"/>
    <col min="10246" max="10247" width="11.42578125" style="3" bestFit="1" customWidth="1"/>
    <col min="10248" max="10248" width="13.140625" style="3" customWidth="1"/>
    <col min="10249" max="10496" width="9.140625" style="3"/>
    <col min="10497" max="10497" width="27" style="3" customWidth="1"/>
    <col min="10498" max="10501" width="20.7109375" style="3" customWidth="1"/>
    <col min="10502" max="10503" width="11.42578125" style="3" bestFit="1" customWidth="1"/>
    <col min="10504" max="10504" width="13.140625" style="3" customWidth="1"/>
    <col min="10505" max="10752" width="9.140625" style="3"/>
    <col min="10753" max="10753" width="27" style="3" customWidth="1"/>
    <col min="10754" max="10757" width="20.7109375" style="3" customWidth="1"/>
    <col min="10758" max="10759" width="11.42578125" style="3" bestFit="1" customWidth="1"/>
    <col min="10760" max="10760" width="13.140625" style="3" customWidth="1"/>
    <col min="10761" max="11008" width="9.140625" style="3"/>
    <col min="11009" max="11009" width="27" style="3" customWidth="1"/>
    <col min="11010" max="11013" width="20.7109375" style="3" customWidth="1"/>
    <col min="11014" max="11015" width="11.42578125" style="3" bestFit="1" customWidth="1"/>
    <col min="11016" max="11016" width="13.140625" style="3" customWidth="1"/>
    <col min="11017" max="11264" width="9.140625" style="3"/>
    <col min="11265" max="11265" width="27" style="3" customWidth="1"/>
    <col min="11266" max="11269" width="20.7109375" style="3" customWidth="1"/>
    <col min="11270" max="11271" width="11.42578125" style="3" bestFit="1" customWidth="1"/>
    <col min="11272" max="11272" width="13.140625" style="3" customWidth="1"/>
    <col min="11273" max="11520" width="9.140625" style="3"/>
    <col min="11521" max="11521" width="27" style="3" customWidth="1"/>
    <col min="11522" max="11525" width="20.7109375" style="3" customWidth="1"/>
    <col min="11526" max="11527" width="11.42578125" style="3" bestFit="1" customWidth="1"/>
    <col min="11528" max="11528" width="13.140625" style="3" customWidth="1"/>
    <col min="11529" max="11776" width="9.140625" style="3"/>
    <col min="11777" max="11777" width="27" style="3" customWidth="1"/>
    <col min="11778" max="11781" width="20.7109375" style="3" customWidth="1"/>
    <col min="11782" max="11783" width="11.42578125" style="3" bestFit="1" customWidth="1"/>
    <col min="11784" max="11784" width="13.140625" style="3" customWidth="1"/>
    <col min="11785" max="12032" width="9.140625" style="3"/>
    <col min="12033" max="12033" width="27" style="3" customWidth="1"/>
    <col min="12034" max="12037" width="20.7109375" style="3" customWidth="1"/>
    <col min="12038" max="12039" width="11.42578125" style="3" bestFit="1" customWidth="1"/>
    <col min="12040" max="12040" width="13.140625" style="3" customWidth="1"/>
    <col min="12041" max="12288" width="9.140625" style="3"/>
    <col min="12289" max="12289" width="27" style="3" customWidth="1"/>
    <col min="12290" max="12293" width="20.7109375" style="3" customWidth="1"/>
    <col min="12294" max="12295" width="11.42578125" style="3" bestFit="1" customWidth="1"/>
    <col min="12296" max="12296" width="13.140625" style="3" customWidth="1"/>
    <col min="12297" max="12544" width="9.140625" style="3"/>
    <col min="12545" max="12545" width="27" style="3" customWidth="1"/>
    <col min="12546" max="12549" width="20.7109375" style="3" customWidth="1"/>
    <col min="12550" max="12551" width="11.42578125" style="3" bestFit="1" customWidth="1"/>
    <col min="12552" max="12552" width="13.140625" style="3" customWidth="1"/>
    <col min="12553" max="12800" width="9.140625" style="3"/>
    <col min="12801" max="12801" width="27" style="3" customWidth="1"/>
    <col min="12802" max="12805" width="20.7109375" style="3" customWidth="1"/>
    <col min="12806" max="12807" width="11.42578125" style="3" bestFit="1" customWidth="1"/>
    <col min="12808" max="12808" width="13.140625" style="3" customWidth="1"/>
    <col min="12809" max="13056" width="9.140625" style="3"/>
    <col min="13057" max="13057" width="27" style="3" customWidth="1"/>
    <col min="13058" max="13061" width="20.7109375" style="3" customWidth="1"/>
    <col min="13062" max="13063" width="11.42578125" style="3" bestFit="1" customWidth="1"/>
    <col min="13064" max="13064" width="13.140625" style="3" customWidth="1"/>
    <col min="13065" max="13312" width="9.140625" style="3"/>
    <col min="13313" max="13313" width="27" style="3" customWidth="1"/>
    <col min="13314" max="13317" width="20.7109375" style="3" customWidth="1"/>
    <col min="13318" max="13319" width="11.42578125" style="3" bestFit="1" customWidth="1"/>
    <col min="13320" max="13320" width="13.140625" style="3" customWidth="1"/>
    <col min="13321" max="13568" width="9.140625" style="3"/>
    <col min="13569" max="13569" width="27" style="3" customWidth="1"/>
    <col min="13570" max="13573" width="20.7109375" style="3" customWidth="1"/>
    <col min="13574" max="13575" width="11.42578125" style="3" bestFit="1" customWidth="1"/>
    <col min="13576" max="13576" width="13.140625" style="3" customWidth="1"/>
    <col min="13577" max="13824" width="9.140625" style="3"/>
    <col min="13825" max="13825" width="27" style="3" customWidth="1"/>
    <col min="13826" max="13829" width="20.7109375" style="3" customWidth="1"/>
    <col min="13830" max="13831" width="11.42578125" style="3" bestFit="1" customWidth="1"/>
    <col min="13832" max="13832" width="13.140625" style="3" customWidth="1"/>
    <col min="13833" max="14080" width="9.140625" style="3"/>
    <col min="14081" max="14081" width="27" style="3" customWidth="1"/>
    <col min="14082" max="14085" width="20.7109375" style="3" customWidth="1"/>
    <col min="14086" max="14087" width="11.42578125" style="3" bestFit="1" customWidth="1"/>
    <col min="14088" max="14088" width="13.140625" style="3" customWidth="1"/>
    <col min="14089" max="14336" width="9.140625" style="3"/>
    <col min="14337" max="14337" width="27" style="3" customWidth="1"/>
    <col min="14338" max="14341" width="20.7109375" style="3" customWidth="1"/>
    <col min="14342" max="14343" width="11.42578125" style="3" bestFit="1" customWidth="1"/>
    <col min="14344" max="14344" width="13.140625" style="3" customWidth="1"/>
    <col min="14345" max="14592" width="9.140625" style="3"/>
    <col min="14593" max="14593" width="27" style="3" customWidth="1"/>
    <col min="14594" max="14597" width="20.7109375" style="3" customWidth="1"/>
    <col min="14598" max="14599" width="11.42578125" style="3" bestFit="1" customWidth="1"/>
    <col min="14600" max="14600" width="13.140625" style="3" customWidth="1"/>
    <col min="14601" max="14848" width="9.140625" style="3"/>
    <col min="14849" max="14849" width="27" style="3" customWidth="1"/>
    <col min="14850" max="14853" width="20.7109375" style="3" customWidth="1"/>
    <col min="14854" max="14855" width="11.42578125" style="3" bestFit="1" customWidth="1"/>
    <col min="14856" max="14856" width="13.140625" style="3" customWidth="1"/>
    <col min="14857" max="15104" width="9.140625" style="3"/>
    <col min="15105" max="15105" width="27" style="3" customWidth="1"/>
    <col min="15106" max="15109" width="20.7109375" style="3" customWidth="1"/>
    <col min="15110" max="15111" width="11.42578125" style="3" bestFit="1" customWidth="1"/>
    <col min="15112" max="15112" width="13.140625" style="3" customWidth="1"/>
    <col min="15113" max="15360" width="9.140625" style="3"/>
    <col min="15361" max="15361" width="27" style="3" customWidth="1"/>
    <col min="15362" max="15365" width="20.7109375" style="3" customWidth="1"/>
    <col min="15366" max="15367" width="11.42578125" style="3" bestFit="1" customWidth="1"/>
    <col min="15368" max="15368" width="13.140625" style="3" customWidth="1"/>
    <col min="15369" max="15616" width="9.140625" style="3"/>
    <col min="15617" max="15617" width="27" style="3" customWidth="1"/>
    <col min="15618" max="15621" width="20.7109375" style="3" customWidth="1"/>
    <col min="15622" max="15623" width="11.42578125" style="3" bestFit="1" customWidth="1"/>
    <col min="15624" max="15624" width="13.140625" style="3" customWidth="1"/>
    <col min="15625" max="15872" width="9.140625" style="3"/>
    <col min="15873" max="15873" width="27" style="3" customWidth="1"/>
    <col min="15874" max="15877" width="20.7109375" style="3" customWidth="1"/>
    <col min="15878" max="15879" width="11.42578125" style="3" bestFit="1" customWidth="1"/>
    <col min="15880" max="15880" width="13.140625" style="3" customWidth="1"/>
    <col min="15881" max="16128" width="9.140625" style="3"/>
    <col min="16129" max="16129" width="27" style="3" customWidth="1"/>
    <col min="16130" max="16133" width="20.7109375" style="3" customWidth="1"/>
    <col min="16134" max="16135" width="11.42578125" style="3" bestFit="1" customWidth="1"/>
    <col min="16136" max="16136" width="13.140625" style="3" customWidth="1"/>
    <col min="16137" max="16384" width="9.140625" style="3"/>
  </cols>
  <sheetData>
    <row r="1" spans="1:9">
      <c r="A1" s="137" t="s">
        <v>105</v>
      </c>
      <c r="B1" s="138"/>
      <c r="C1" s="138"/>
      <c r="D1" s="138"/>
      <c r="E1" s="139"/>
      <c r="F1" s="90"/>
      <c r="G1" s="91">
        <f ca="1">TODAY()</f>
        <v>43159</v>
      </c>
      <c r="I1" s="145"/>
    </row>
    <row r="2" spans="1:9" ht="16.5" thickBot="1">
      <c r="A2" s="92" t="s">
        <v>67</v>
      </c>
      <c r="B2" s="93" t="s">
        <v>68</v>
      </c>
      <c r="C2" s="93" t="s">
        <v>69</v>
      </c>
      <c r="D2" s="93" t="s">
        <v>70</v>
      </c>
      <c r="E2" s="94" t="s">
        <v>71</v>
      </c>
      <c r="F2" s="95"/>
      <c r="G2" s="90"/>
      <c r="H2" s="145"/>
      <c r="I2" s="145"/>
    </row>
    <row r="3" spans="1:9">
      <c r="A3" s="96" t="s">
        <v>75</v>
      </c>
      <c r="B3" s="97">
        <v>43168</v>
      </c>
      <c r="C3" s="97">
        <v>43167</v>
      </c>
      <c r="D3" s="97">
        <v>43166</v>
      </c>
      <c r="E3" s="98">
        <v>43166</v>
      </c>
      <c r="F3" s="90"/>
      <c r="G3" s="90"/>
      <c r="H3" s="145"/>
      <c r="I3" s="145"/>
    </row>
    <row r="4" spans="1:9">
      <c r="A4" s="99" t="s">
        <v>77</v>
      </c>
      <c r="B4" s="97">
        <v>43899</v>
      </c>
      <c r="C4" s="97">
        <v>44263</v>
      </c>
      <c r="D4" s="97">
        <v>44992</v>
      </c>
      <c r="E4" s="98">
        <v>46819</v>
      </c>
      <c r="F4" s="90"/>
      <c r="G4" s="90"/>
      <c r="H4" s="145"/>
      <c r="I4" s="145"/>
    </row>
    <row r="5" spans="1:9">
      <c r="A5" s="96" t="s">
        <v>106</v>
      </c>
      <c r="B5" s="100" t="s">
        <v>151</v>
      </c>
      <c r="C5" s="100" t="s">
        <v>152</v>
      </c>
      <c r="D5" s="100" t="s">
        <v>153</v>
      </c>
      <c r="E5" s="101" t="s">
        <v>154</v>
      </c>
      <c r="F5" s="90"/>
      <c r="G5" s="90"/>
      <c r="H5" s="145"/>
      <c r="I5" s="145"/>
    </row>
    <row r="6" spans="1:9">
      <c r="A6" s="96" t="s">
        <v>85</v>
      </c>
      <c r="B6" s="102">
        <v>-1.5600000000000021E-3</v>
      </c>
      <c r="C6" s="102">
        <v>-1.3100000000000119E-3</v>
      </c>
      <c r="D6" s="102">
        <v>-1.0600000000000086E-3</v>
      </c>
      <c r="E6" s="103">
        <v>5.2999999999998914E-4</v>
      </c>
      <c r="F6" s="90"/>
      <c r="G6" s="90"/>
      <c r="H6" s="145"/>
      <c r="I6" s="145"/>
    </row>
    <row r="7" spans="1:9">
      <c r="A7" s="96" t="s">
        <v>111</v>
      </c>
      <c r="B7" s="104">
        <v>-18</v>
      </c>
      <c r="C7" s="104">
        <v>-15</v>
      </c>
      <c r="D7" s="104">
        <v>-9</v>
      </c>
      <c r="E7" s="105">
        <v>4</v>
      </c>
      <c r="F7" s="106"/>
      <c r="G7" s="90"/>
      <c r="H7" s="145"/>
      <c r="I7" s="145"/>
    </row>
    <row r="8" spans="1:9">
      <c r="A8" s="96" t="s">
        <v>88</v>
      </c>
      <c r="B8" s="102">
        <v>-3.3600000000000019E-3</v>
      </c>
      <c r="C8" s="102">
        <v>-2.8100000000000121E-3</v>
      </c>
      <c r="D8" s="102">
        <v>-1.9600000000000086E-3</v>
      </c>
      <c r="E8" s="103">
        <v>9.2999999999998921E-4</v>
      </c>
      <c r="F8" s="90"/>
      <c r="G8" s="107"/>
      <c r="H8" s="145"/>
      <c r="I8" s="145"/>
    </row>
    <row r="9" spans="1:9">
      <c r="A9" s="96" t="s">
        <v>89</v>
      </c>
      <c r="B9" s="108">
        <v>7.5</v>
      </c>
      <c r="C9" s="109">
        <v>10</v>
      </c>
      <c r="D9" s="108">
        <v>12.5</v>
      </c>
      <c r="E9" s="110">
        <v>17.5</v>
      </c>
      <c r="F9" s="90"/>
      <c r="G9" s="90"/>
      <c r="H9" s="145"/>
      <c r="I9" s="145"/>
    </row>
    <row r="10" spans="1:9">
      <c r="A10" s="96" t="s">
        <v>90</v>
      </c>
      <c r="B10" s="102">
        <v>-2.9888003794553697E-3</v>
      </c>
      <c r="C10" s="102">
        <v>-2.4792080176641029E-3</v>
      </c>
      <c r="D10" s="102">
        <v>-1.7119130521701109E-3</v>
      </c>
      <c r="E10" s="103">
        <v>1.1065090664068578E-3</v>
      </c>
      <c r="F10" s="90"/>
      <c r="G10" s="90"/>
      <c r="H10" s="145"/>
      <c r="I10" s="145"/>
    </row>
    <row r="11" spans="1:9">
      <c r="A11" s="96" t="s">
        <v>91</v>
      </c>
      <c r="B11" s="102">
        <v>4.8750000000000003E-4</v>
      </c>
      <c r="C11" s="102">
        <v>6.8750000000000007E-4</v>
      </c>
      <c r="D11" s="102">
        <v>1.1375000000000001E-3</v>
      </c>
      <c r="E11" s="103">
        <v>2.725E-3</v>
      </c>
      <c r="F11" s="106"/>
      <c r="G11" s="106"/>
      <c r="H11" s="145"/>
      <c r="I11" s="145"/>
    </row>
    <row r="12" spans="1:9">
      <c r="A12" s="96"/>
      <c r="B12" s="111"/>
      <c r="C12" s="111"/>
      <c r="D12" s="111"/>
      <c r="E12" s="112"/>
      <c r="F12" s="90"/>
      <c r="G12" s="90"/>
      <c r="H12" s="145"/>
      <c r="I12" s="145"/>
    </row>
    <row r="13" spans="1:9">
      <c r="A13" s="96" t="s">
        <v>112</v>
      </c>
      <c r="B13" s="22">
        <v>-34.763003794553697</v>
      </c>
      <c r="C13" s="22">
        <v>-31.667080176641026</v>
      </c>
      <c r="D13" s="22">
        <v>-28.494130521701109</v>
      </c>
      <c r="E13" s="119">
        <v>-16.184909335931426</v>
      </c>
      <c r="F13" s="22"/>
      <c r="G13" s="22"/>
      <c r="H13" s="145"/>
      <c r="I13" s="145"/>
    </row>
    <row r="14" spans="1:9">
      <c r="A14" s="96" t="s">
        <v>113</v>
      </c>
      <c r="B14" s="113">
        <v>-31.762943794553696</v>
      </c>
      <c r="C14" s="113">
        <v>-28.666510176641026</v>
      </c>
      <c r="D14" s="113">
        <v>-25.242350521701109</v>
      </c>
      <c r="E14" s="114">
        <v>-10.427919335931426</v>
      </c>
      <c r="F14" s="90"/>
      <c r="G14" s="90"/>
      <c r="H14" s="145"/>
      <c r="I14" s="145"/>
    </row>
    <row r="15" spans="1:9">
      <c r="A15" s="96"/>
      <c r="B15" s="111"/>
      <c r="C15" s="111"/>
      <c r="D15" s="111"/>
      <c r="E15" s="112"/>
      <c r="F15" s="90"/>
      <c r="G15" s="90"/>
      <c r="H15" s="145"/>
      <c r="I15" s="145"/>
    </row>
    <row r="16" spans="1:9" ht="15.75" customHeight="1">
      <c r="A16" s="96" t="s">
        <v>92</v>
      </c>
      <c r="B16" s="22">
        <v>18.987056205446304</v>
      </c>
      <c r="C16" s="22">
        <v>24.645989823358974</v>
      </c>
      <c r="D16" s="22">
        <v>30.882649478298891</v>
      </c>
      <c r="E16" s="119">
        <v>44.572080664068572</v>
      </c>
      <c r="F16" s="22"/>
      <c r="G16" s="22"/>
      <c r="H16" s="145"/>
      <c r="I16" s="145"/>
    </row>
    <row r="17" spans="1:14" ht="16.5" customHeight="1" thickBot="1">
      <c r="A17" s="92" t="s">
        <v>93</v>
      </c>
      <c r="B17" s="115">
        <v>8.3620562054463043</v>
      </c>
      <c r="C17" s="115">
        <v>13.645989823358974</v>
      </c>
      <c r="D17" s="115">
        <v>19.382649478298891</v>
      </c>
      <c r="E17" s="116">
        <v>32.197080664068572</v>
      </c>
      <c r="F17" s="90"/>
      <c r="G17" s="90"/>
      <c r="H17" s="145"/>
      <c r="I17" s="145"/>
    </row>
    <row r="18" spans="1:14">
      <c r="A18" s="2"/>
      <c r="B18" s="2"/>
      <c r="C18" s="2"/>
      <c r="D18" s="2"/>
      <c r="E18" s="2"/>
      <c r="F18" s="2"/>
      <c r="G18" s="2"/>
      <c r="H18" s="145"/>
      <c r="I18" s="145"/>
    </row>
    <row r="19" spans="1:14">
      <c r="A19" s="145"/>
      <c r="B19" s="2"/>
      <c r="C19" s="2"/>
      <c r="D19" s="2"/>
      <c r="E19" s="2"/>
      <c r="F19" s="145"/>
      <c r="G19" s="145"/>
      <c r="H19" s="145"/>
      <c r="I19" s="145"/>
    </row>
    <row r="20" spans="1:14">
      <c r="B20" s="170"/>
      <c r="C20" s="170"/>
      <c r="D20" s="170"/>
      <c r="E20" s="170"/>
      <c r="F20" s="170"/>
      <c r="G20" s="145"/>
      <c r="H20" s="145"/>
      <c r="I20" s="145"/>
    </row>
    <row r="21" spans="1:14">
      <c r="B21" s="205"/>
      <c r="C21" s="205"/>
      <c r="D21" s="205"/>
      <c r="E21" s="205"/>
    </row>
    <row r="25" spans="1:14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</row>
    <row r="26" spans="1:14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</row>
    <row r="27" spans="1:14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</row>
    <row r="28" spans="1:14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</row>
    <row r="29" spans="1:14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</row>
    <row r="30" spans="1:14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</row>
    <row r="31" spans="1:14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</row>
    <row r="32" spans="1:14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</row>
    <row r="33" spans="1:14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</row>
    <row r="34" spans="1:14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</row>
    <row r="35" spans="1:14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</row>
    <row r="36" spans="1:14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</row>
    <row r="37" spans="1:14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</row>
    <row r="38" spans="1:1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</row>
    <row r="39" spans="1:1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</row>
    <row r="40" spans="1:1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</row>
    <row r="41" spans="1:1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</row>
    <row r="42" spans="1:1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</row>
    <row r="43" spans="1:14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</row>
    <row r="44" spans="1:14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</row>
    <row r="45" spans="1:14">
      <c r="A45" s="117"/>
      <c r="B45" s="206"/>
      <c r="C45" s="206"/>
      <c r="D45" s="207"/>
      <c r="E45" s="207"/>
      <c r="F45" s="207"/>
      <c r="G45" s="207"/>
      <c r="H45" s="207"/>
      <c r="I45" s="6"/>
      <c r="J45" s="6"/>
      <c r="K45" s="6"/>
      <c r="L45" s="6"/>
      <c r="M45" s="6"/>
      <c r="N45" s="6"/>
    </row>
    <row r="46" spans="1:14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</row>
    <row r="47" spans="1:14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</row>
  </sheetData>
  <mergeCells count="1">
    <mergeCell ref="A1:E1"/>
  </mergeCells>
  <pageMargins left="0.45" right="0.45" top="0.75" bottom="0.75" header="0.3" footer="0.3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0"/>
  <sheetViews>
    <sheetView workbookViewId="0">
      <selection activeCell="G20" sqref="G20"/>
    </sheetView>
  </sheetViews>
  <sheetFormatPr defaultRowHeight="15.75"/>
  <cols>
    <col min="1" max="1" width="27" style="3" customWidth="1"/>
    <col min="2" max="6" width="20.7109375" style="3" customWidth="1"/>
    <col min="7" max="7" width="20" style="3" bestFit="1" customWidth="1"/>
    <col min="8" max="16384" width="9.140625" style="3"/>
  </cols>
  <sheetData>
    <row r="1" spans="1:10">
      <c r="A1" s="144" t="s">
        <v>94</v>
      </c>
      <c r="B1" s="144"/>
      <c r="C1" s="144"/>
      <c r="D1" s="144"/>
      <c r="E1" s="144"/>
      <c r="F1" s="144"/>
      <c r="G1" s="2"/>
      <c r="H1" s="2"/>
      <c r="I1" s="2"/>
      <c r="J1" s="145"/>
    </row>
    <row r="2" spans="1:10">
      <c r="A2" s="2" t="s">
        <v>67</v>
      </c>
      <c r="B2" s="146" t="s">
        <v>68</v>
      </c>
      <c r="C2" s="146" t="s">
        <v>69</v>
      </c>
      <c r="D2" s="146" t="s">
        <v>70</v>
      </c>
      <c r="E2" s="146" t="s">
        <v>71</v>
      </c>
      <c r="F2" s="146" t="s">
        <v>72</v>
      </c>
      <c r="G2" s="147" t="s">
        <v>95</v>
      </c>
      <c r="H2" s="2"/>
      <c r="I2" s="2"/>
      <c r="J2" s="145"/>
    </row>
    <row r="3" spans="1:10">
      <c r="A3" s="2" t="s">
        <v>75</v>
      </c>
      <c r="B3" s="158">
        <v>43159</v>
      </c>
      <c r="C3" s="158">
        <v>43159</v>
      </c>
      <c r="D3" s="158">
        <v>43159</v>
      </c>
      <c r="E3" s="158">
        <v>43159</v>
      </c>
      <c r="F3" s="158">
        <v>43159</v>
      </c>
      <c r="G3" s="64">
        <v>43159</v>
      </c>
      <c r="H3" s="2"/>
      <c r="I3" s="2"/>
      <c r="J3" s="145"/>
    </row>
    <row r="4" spans="1:10">
      <c r="A4" s="150" t="s">
        <v>77</v>
      </c>
      <c r="B4" s="158">
        <v>43889</v>
      </c>
      <c r="C4" s="158">
        <v>44255</v>
      </c>
      <c r="D4" s="158">
        <v>44985</v>
      </c>
      <c r="E4" s="158">
        <v>46811</v>
      </c>
      <c r="F4" s="158">
        <v>54116</v>
      </c>
      <c r="G4" s="201">
        <v>61421</v>
      </c>
      <c r="H4" s="2"/>
      <c r="I4" s="2"/>
      <c r="J4" s="145"/>
    </row>
    <row r="5" spans="1:10">
      <c r="A5" s="2" t="s">
        <v>96</v>
      </c>
      <c r="B5" s="44" t="s">
        <v>145</v>
      </c>
      <c r="C5" s="44" t="s">
        <v>146</v>
      </c>
      <c r="D5" s="44" t="s">
        <v>147</v>
      </c>
      <c r="E5" s="44" t="s">
        <v>148</v>
      </c>
      <c r="F5" s="44" t="s">
        <v>149</v>
      </c>
      <c r="G5" s="2" t="s">
        <v>150</v>
      </c>
      <c r="H5" s="2"/>
      <c r="I5" s="2"/>
      <c r="J5" s="145"/>
    </row>
    <row r="6" spans="1:10">
      <c r="A6" s="2" t="s">
        <v>85</v>
      </c>
      <c r="B6" s="170">
        <v>-5.3400000000000001E-3</v>
      </c>
      <c r="C6" s="170">
        <v>-3.6900000000000001E-3</v>
      </c>
      <c r="D6" s="170">
        <v>3.2000000000000003E-4</v>
      </c>
      <c r="E6" s="170">
        <v>6.6400000000000001E-3</v>
      </c>
      <c r="F6" s="170">
        <v>1.312E-2</v>
      </c>
      <c r="G6" s="170">
        <v>1.8849999999999999E-2</v>
      </c>
      <c r="H6" s="2"/>
      <c r="I6" s="2"/>
      <c r="J6" s="145"/>
    </row>
    <row r="7" spans="1:10">
      <c r="A7" s="2" t="s">
        <v>102</v>
      </c>
      <c r="B7" s="56">
        <v>16.459999999999997</v>
      </c>
      <c r="C7" s="56">
        <v>21.000000000000004</v>
      </c>
      <c r="D7" s="56">
        <v>20.729999999999997</v>
      </c>
      <c r="E7" s="56">
        <v>27.45000000000001</v>
      </c>
      <c r="F7" s="56">
        <v>31.95</v>
      </c>
      <c r="G7" s="56">
        <v>-11.469999999999986</v>
      </c>
      <c r="H7" s="2"/>
      <c r="I7" s="2"/>
      <c r="J7" s="145"/>
    </row>
    <row r="8" spans="1:10">
      <c r="A8" s="2" t="s">
        <v>88</v>
      </c>
      <c r="B8" s="170">
        <v>-3.6940000000000002E-3</v>
      </c>
      <c r="C8" s="170">
        <v>-1.5899999999999998E-3</v>
      </c>
      <c r="D8" s="170">
        <v>2.3929999999999997E-3</v>
      </c>
      <c r="E8" s="170">
        <v>9.385000000000001E-3</v>
      </c>
      <c r="F8" s="170">
        <v>1.6315E-2</v>
      </c>
      <c r="G8" s="170">
        <v>1.7703E-2</v>
      </c>
      <c r="H8" s="2"/>
      <c r="I8" s="2"/>
      <c r="J8" s="145"/>
    </row>
    <row r="9" spans="1:10">
      <c r="A9" s="2" t="s">
        <v>89</v>
      </c>
      <c r="B9" s="170">
        <v>7.5000000000000002E-4</v>
      </c>
      <c r="C9" s="170">
        <v>1E-3</v>
      </c>
      <c r="D9" s="170">
        <v>1.25E-3</v>
      </c>
      <c r="E9" s="170">
        <v>1.75E-3</v>
      </c>
      <c r="F9" s="170">
        <v>2.2499999999999998E-3</v>
      </c>
      <c r="G9" s="170">
        <v>2.5000000000000001E-3</v>
      </c>
      <c r="H9" s="2"/>
      <c r="I9" s="2"/>
      <c r="J9" s="145"/>
    </row>
    <row r="10" spans="1:10">
      <c r="A10" s="2" t="s">
        <v>90</v>
      </c>
      <c r="B10" s="170">
        <v>-3.3190000000000003E-3</v>
      </c>
      <c r="C10" s="203">
        <v>-1.2299999999999998E-3</v>
      </c>
      <c r="D10" s="203">
        <v>2.7529999999999998E-3</v>
      </c>
      <c r="E10" s="170">
        <v>9.5695282704916385E-3</v>
      </c>
      <c r="F10" s="170">
        <v>1.6410357790564246E-2</v>
      </c>
      <c r="G10" s="170">
        <v>1.7779012662623821E-2</v>
      </c>
      <c r="H10" s="2"/>
      <c r="I10" s="2"/>
      <c r="J10" s="145"/>
    </row>
    <row r="11" spans="1:10" s="6" customFormat="1">
      <c r="A11" s="2" t="s">
        <v>91</v>
      </c>
      <c r="B11" s="170">
        <v>-1.194E-3</v>
      </c>
      <c r="C11" s="204">
        <v>8.1000000000000006E-4</v>
      </c>
      <c r="D11" s="170">
        <v>4.5929999999999999E-3</v>
      </c>
      <c r="E11" s="170">
        <v>1.0885000000000001E-2</v>
      </c>
      <c r="F11" s="170">
        <v>1.6115000000000001E-2</v>
      </c>
      <c r="G11" s="170">
        <v>1.5502999999999999E-2</v>
      </c>
      <c r="H11" s="2"/>
      <c r="I11" s="2"/>
      <c r="J11" s="2"/>
    </row>
    <row r="12" spans="1:10" s="6" customFormat="1">
      <c r="A12" s="2"/>
      <c r="B12" s="2"/>
      <c r="C12" s="2"/>
      <c r="D12" s="2"/>
      <c r="E12" s="2"/>
      <c r="F12" s="2"/>
      <c r="G12" s="2"/>
      <c r="H12" s="2"/>
      <c r="I12" s="2"/>
      <c r="J12" s="2"/>
    </row>
    <row r="13" spans="1:10" s="6" customFormat="1">
      <c r="A13" s="2" t="s">
        <v>103</v>
      </c>
      <c r="B13" s="208">
        <v>-21.25</v>
      </c>
      <c r="C13" s="208">
        <v>-20.399999999999999</v>
      </c>
      <c r="D13" s="208">
        <v>-18.400000000000002</v>
      </c>
      <c r="E13" s="208">
        <v>-13.154717295083621</v>
      </c>
      <c r="F13" s="208">
        <v>2.9535779056424558</v>
      </c>
      <c r="G13" s="208">
        <v>22.760126626238211</v>
      </c>
      <c r="H13" s="2"/>
      <c r="I13" s="2"/>
      <c r="J13" s="2"/>
    </row>
    <row r="14" spans="1:10" s="6" customFormat="1">
      <c r="A14" s="2" t="s">
        <v>104</v>
      </c>
      <c r="B14" s="208">
        <v>-15.425000000000001</v>
      </c>
      <c r="C14" s="208">
        <v>-13.849999999999998</v>
      </c>
      <c r="D14" s="208">
        <v>-10.700000000000003</v>
      </c>
      <c r="E14" s="208">
        <v>-4.9047172950836213</v>
      </c>
      <c r="F14" s="208">
        <v>7.3035779056424559</v>
      </c>
      <c r="G14" s="208">
        <v>25.66012662623821</v>
      </c>
      <c r="H14" s="2"/>
      <c r="I14" s="2"/>
      <c r="J14" s="2"/>
    </row>
    <row r="15" spans="1:10">
      <c r="A15" s="2"/>
      <c r="B15" s="2"/>
      <c r="C15" s="2"/>
      <c r="D15" s="2"/>
      <c r="E15" s="2"/>
      <c r="F15" s="2"/>
      <c r="G15" s="2"/>
      <c r="H15" s="2"/>
      <c r="I15" s="2"/>
      <c r="J15" s="145"/>
    </row>
    <row r="16" spans="1:10">
      <c r="A16" s="2" t="s">
        <v>92</v>
      </c>
      <c r="B16" s="208">
        <v>16.7</v>
      </c>
      <c r="C16" s="208">
        <v>17.025000000000002</v>
      </c>
      <c r="D16" s="208">
        <v>18.799999999999997</v>
      </c>
      <c r="E16" s="208">
        <v>23.532782704916379</v>
      </c>
      <c r="F16" s="208">
        <v>15.803577905642456</v>
      </c>
      <c r="G16" s="208">
        <v>36.41012662623821</v>
      </c>
      <c r="H16" s="2"/>
      <c r="I16" s="2"/>
      <c r="J16" s="145"/>
    </row>
    <row r="17" spans="1:10">
      <c r="A17" s="2" t="s">
        <v>93</v>
      </c>
      <c r="B17" s="202">
        <v>5.879999999999999</v>
      </c>
      <c r="C17" s="202">
        <v>6.0250000000000021</v>
      </c>
      <c r="D17" s="202">
        <v>7.1749999999999972</v>
      </c>
      <c r="E17" s="202">
        <v>10.970282704916379</v>
      </c>
      <c r="F17" s="202">
        <v>2.8660779056424559</v>
      </c>
      <c r="G17" s="202">
        <v>23.47262662623821</v>
      </c>
      <c r="H17" s="2"/>
      <c r="I17" s="2"/>
      <c r="J17" s="145"/>
    </row>
    <row r="18" spans="1:10">
      <c r="A18" s="2"/>
      <c r="B18" s="2"/>
      <c r="C18" s="2"/>
      <c r="D18" s="2"/>
      <c r="E18" s="2"/>
      <c r="F18" s="2"/>
      <c r="G18" s="2"/>
      <c r="H18" s="2"/>
      <c r="I18" s="2"/>
      <c r="J18" s="145"/>
    </row>
    <row r="19" spans="1:10">
      <c r="A19" s="145"/>
      <c r="B19" s="145"/>
      <c r="C19" s="145"/>
      <c r="D19" s="145"/>
      <c r="E19" s="145"/>
      <c r="F19" s="145"/>
    </row>
    <row r="20" spans="1:10">
      <c r="A20" s="145"/>
      <c r="B20" s="145"/>
      <c r="C20" s="145"/>
      <c r="D20" s="145"/>
      <c r="E20" s="145"/>
      <c r="F20" s="145"/>
    </row>
  </sheetData>
  <mergeCells count="1">
    <mergeCell ref="A1:F1"/>
  </mergeCells>
  <pageMargins left="0.45" right="0.45" top="0.75" bottom="0.75" header="0.3" footer="0.3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8"/>
  <sheetViews>
    <sheetView workbookViewId="0">
      <selection activeCell="G19" sqref="G19"/>
    </sheetView>
  </sheetViews>
  <sheetFormatPr defaultRowHeight="15.75"/>
  <cols>
    <col min="1" max="1" width="27.7109375" style="3" customWidth="1"/>
    <col min="2" max="6" width="20.7109375" style="3" customWidth="1"/>
    <col min="7" max="8" width="18.7109375" style="3" bestFit="1" customWidth="1"/>
    <col min="9" max="16384" width="9.140625" style="3"/>
  </cols>
  <sheetData>
    <row r="1" spans="1:10">
      <c r="A1" s="144" t="s">
        <v>137</v>
      </c>
      <c r="B1" s="144"/>
      <c r="C1" s="144"/>
      <c r="D1" s="144"/>
      <c r="E1" s="144"/>
      <c r="F1" s="144"/>
      <c r="G1" s="2"/>
      <c r="H1" s="2"/>
      <c r="I1" s="145"/>
      <c r="J1" s="145"/>
    </row>
    <row r="2" spans="1:10">
      <c r="A2" s="2" t="s">
        <v>67</v>
      </c>
      <c r="B2" s="146" t="s">
        <v>68</v>
      </c>
      <c r="C2" s="146" t="s">
        <v>69</v>
      </c>
      <c r="D2" s="146" t="s">
        <v>70</v>
      </c>
      <c r="E2" s="146" t="s">
        <v>71</v>
      </c>
      <c r="F2" s="146" t="s">
        <v>72</v>
      </c>
      <c r="G2" s="147" t="s">
        <v>138</v>
      </c>
      <c r="H2" s="147" t="s">
        <v>95</v>
      </c>
      <c r="I2" s="145"/>
      <c r="J2" s="145"/>
    </row>
    <row r="3" spans="1:10">
      <c r="A3" s="2" t="s">
        <v>75</v>
      </c>
      <c r="B3" s="158">
        <v>43159</v>
      </c>
      <c r="C3" s="158">
        <v>43159</v>
      </c>
      <c r="D3" s="158">
        <v>43159</v>
      </c>
      <c r="E3" s="158">
        <v>43159</v>
      </c>
      <c r="F3" s="158">
        <v>43159</v>
      </c>
      <c r="G3" s="201">
        <v>43159</v>
      </c>
      <c r="H3" s="201">
        <v>43159</v>
      </c>
      <c r="I3" s="145"/>
      <c r="J3" s="145"/>
    </row>
    <row r="4" spans="1:10">
      <c r="A4" s="150" t="s">
        <v>77</v>
      </c>
      <c r="B4" s="158">
        <v>43889</v>
      </c>
      <c r="C4" s="158">
        <v>44255</v>
      </c>
      <c r="D4" s="158">
        <v>44985</v>
      </c>
      <c r="E4" s="158">
        <v>46811</v>
      </c>
      <c r="F4" s="158">
        <v>54116</v>
      </c>
      <c r="G4" s="201">
        <v>57769</v>
      </c>
      <c r="H4" s="201">
        <v>61421</v>
      </c>
      <c r="I4" s="145"/>
      <c r="J4" s="145"/>
    </row>
    <row r="5" spans="1:10">
      <c r="A5" s="2" t="s">
        <v>79</v>
      </c>
      <c r="B5" s="44" t="s">
        <v>139</v>
      </c>
      <c r="C5" s="44" t="s">
        <v>140</v>
      </c>
      <c r="D5" s="44" t="s">
        <v>141</v>
      </c>
      <c r="E5" s="44" t="s">
        <v>142</v>
      </c>
      <c r="F5" s="44" t="s">
        <v>143</v>
      </c>
      <c r="G5" s="2" t="s">
        <v>143</v>
      </c>
      <c r="H5" s="2" t="s">
        <v>143</v>
      </c>
      <c r="I5" s="145"/>
      <c r="J5" s="145"/>
    </row>
    <row r="6" spans="1:10">
      <c r="A6" s="2" t="s">
        <v>85</v>
      </c>
      <c r="B6" s="170">
        <v>2.2741220000000003E-2</v>
      </c>
      <c r="C6" s="170">
        <v>2.431349E-2</v>
      </c>
      <c r="D6" s="170">
        <v>2.668678E-2</v>
      </c>
      <c r="E6" s="170">
        <v>2.891608E-2</v>
      </c>
      <c r="F6" s="170">
        <v>3.1497190000000001E-2</v>
      </c>
      <c r="G6" s="170">
        <v>3.1497190000000001E-2</v>
      </c>
      <c r="H6" s="170">
        <v>3.1497190000000001E-2</v>
      </c>
      <c r="I6" s="145"/>
      <c r="J6" s="145"/>
    </row>
    <row r="7" spans="1:10">
      <c r="A7" s="2" t="s">
        <v>87</v>
      </c>
      <c r="B7" s="2">
        <v>19.387799999999977</v>
      </c>
      <c r="C7" s="2">
        <v>19.605100000000022</v>
      </c>
      <c r="D7" s="2">
        <v>17.472200000000008</v>
      </c>
      <c r="E7" s="2">
        <v>17.159199999999991</v>
      </c>
      <c r="F7" s="200">
        <v>52.198099999999982</v>
      </c>
      <c r="G7" s="2">
        <v>68.558099999999968</v>
      </c>
      <c r="H7" s="2">
        <v>79.958099999999988</v>
      </c>
      <c r="I7" s="145"/>
      <c r="J7" s="145"/>
    </row>
    <row r="8" spans="1:10">
      <c r="A8" s="2" t="s">
        <v>88</v>
      </c>
      <c r="B8" s="170">
        <v>2.4680000000000001E-2</v>
      </c>
      <c r="C8" s="170">
        <v>2.6274000000000002E-2</v>
      </c>
      <c r="D8" s="170">
        <v>2.8434000000000001E-2</v>
      </c>
      <c r="E8" s="170">
        <v>3.0632E-2</v>
      </c>
      <c r="F8" s="170">
        <v>3.6717E-2</v>
      </c>
      <c r="G8" s="170">
        <v>3.8352999999999998E-2</v>
      </c>
      <c r="H8" s="170">
        <v>3.9493E-2</v>
      </c>
      <c r="I8" s="145"/>
      <c r="J8" s="145"/>
    </row>
    <row r="9" spans="1:10">
      <c r="A9" s="2" t="s">
        <v>89</v>
      </c>
      <c r="B9" s="170">
        <v>7.5000000000000002E-4</v>
      </c>
      <c r="C9" s="170">
        <v>1E-3</v>
      </c>
      <c r="D9" s="170">
        <v>1.25E-3</v>
      </c>
      <c r="E9" s="170">
        <v>1.75E-3</v>
      </c>
      <c r="F9" s="170">
        <v>2.2499999999999998E-3</v>
      </c>
      <c r="G9" s="170">
        <v>2.5000000000000001E-3</v>
      </c>
      <c r="H9" s="170">
        <v>2.5000000000000001E-3</v>
      </c>
      <c r="I9" s="145"/>
      <c r="J9" s="145"/>
    </row>
    <row r="10" spans="1:10">
      <c r="A10" s="2" t="s">
        <v>90</v>
      </c>
      <c r="B10" s="170">
        <v>2.5067265479568477E-2</v>
      </c>
      <c r="C10" s="170">
        <v>2.6623048879275742E-2</v>
      </c>
      <c r="D10" s="170">
        <v>2.8704827732766381E-2</v>
      </c>
      <c r="E10" s="170">
        <v>3.0837341409981112E-2</v>
      </c>
      <c r="F10" s="170">
        <v>3.6842277539068359E-2</v>
      </c>
      <c r="G10" s="170">
        <v>3.8477571387662474E-2</v>
      </c>
      <c r="H10" s="170">
        <v>3.9609734089160728E-2</v>
      </c>
      <c r="I10" s="145"/>
      <c r="J10" s="145"/>
    </row>
    <row r="11" spans="1:10">
      <c r="A11" s="2" t="s">
        <v>91</v>
      </c>
      <c r="B11" s="170">
        <v>2.5479999999999999E-2</v>
      </c>
      <c r="C11" s="170">
        <v>2.6674000000000003E-2</v>
      </c>
      <c r="D11" s="170">
        <v>2.7734000000000002E-2</v>
      </c>
      <c r="E11" s="170">
        <v>2.9031999999999999E-2</v>
      </c>
      <c r="F11" s="170">
        <v>2.9716999999999997E-2</v>
      </c>
      <c r="G11" s="170">
        <v>2.9352999999999997E-2</v>
      </c>
      <c r="H11" s="170">
        <v>2.8993000000000001E-2</v>
      </c>
      <c r="I11" s="145"/>
      <c r="J11" s="145"/>
    </row>
    <row r="12" spans="1:10">
      <c r="A12" s="2"/>
      <c r="B12" s="2"/>
      <c r="C12" s="2"/>
      <c r="D12" s="2"/>
      <c r="E12" s="2"/>
      <c r="F12" s="2"/>
      <c r="G12" s="2"/>
      <c r="H12" s="2"/>
      <c r="I12" s="145"/>
      <c r="J12" s="145"/>
    </row>
    <row r="13" spans="1:10">
      <c r="A13" s="157" t="s">
        <v>144</v>
      </c>
      <c r="B13" s="202">
        <v>-7.9999999999999867</v>
      </c>
      <c r="C13" s="2">
        <v>-4.0000000000000107</v>
      </c>
      <c r="D13" s="2">
        <v>6.999999999999992</v>
      </c>
      <c r="E13" s="2">
        <v>16.000000000000007</v>
      </c>
      <c r="F13" s="2">
        <v>70.000000000000028</v>
      </c>
      <c r="G13" s="2">
        <v>90.000000000000014</v>
      </c>
      <c r="H13" s="2">
        <v>104.99999999999999</v>
      </c>
      <c r="I13" s="145"/>
      <c r="J13" s="145"/>
    </row>
    <row r="14" spans="1:10">
      <c r="A14" s="2" t="s">
        <v>92</v>
      </c>
      <c r="B14" s="208">
        <v>-4.1273452043152217</v>
      </c>
      <c r="C14" s="208">
        <v>-0.50951120724260912</v>
      </c>
      <c r="D14" s="208">
        <v>9.7082773276637937</v>
      </c>
      <c r="E14" s="208">
        <v>18.053414099811135</v>
      </c>
      <c r="F14" s="208">
        <v>71.252775390683624</v>
      </c>
      <c r="G14" s="208">
        <v>91.245713876624762</v>
      </c>
      <c r="H14" s="208">
        <v>106.16734089160727</v>
      </c>
      <c r="I14" s="145"/>
      <c r="J14" s="145"/>
    </row>
    <row r="15" spans="1:10">
      <c r="A15" s="2" t="s">
        <v>93</v>
      </c>
      <c r="B15" s="208">
        <v>-14.947345204315223</v>
      </c>
      <c r="C15" s="208">
        <v>-11.509511207242609</v>
      </c>
      <c r="D15" s="208">
        <v>-1.9167226723362063</v>
      </c>
      <c r="E15" s="208">
        <v>5.4909140998111354</v>
      </c>
      <c r="F15" s="208">
        <v>58.315275390683624</v>
      </c>
      <c r="G15" s="208">
        <v>78.308213876624762</v>
      </c>
      <c r="H15" s="208">
        <v>93.229840891607267</v>
      </c>
      <c r="I15" s="145"/>
      <c r="J15" s="145"/>
    </row>
    <row r="16" spans="1:10">
      <c r="A16" s="2"/>
      <c r="B16" s="2"/>
      <c r="C16" s="2"/>
      <c r="D16" s="2"/>
      <c r="E16" s="2"/>
      <c r="F16" s="2"/>
      <c r="G16" s="2"/>
      <c r="H16" s="2"/>
      <c r="I16" s="145"/>
      <c r="J16" s="145"/>
    </row>
    <row r="17" spans="1:10">
      <c r="A17" s="2"/>
      <c r="B17" s="2"/>
      <c r="C17" s="2"/>
      <c r="D17" s="2"/>
      <c r="E17" s="2"/>
      <c r="F17" s="2"/>
      <c r="G17" s="145"/>
      <c r="H17" s="145"/>
      <c r="I17" s="145"/>
      <c r="J17" s="145"/>
    </row>
    <row r="18" spans="1:10">
      <c r="A18" s="145"/>
      <c r="B18" s="145"/>
      <c r="C18" s="145"/>
      <c r="D18" s="145"/>
      <c r="E18" s="145"/>
      <c r="F18" s="145"/>
    </row>
  </sheetData>
  <mergeCells count="1">
    <mergeCell ref="A1:F1"/>
  </mergeCells>
  <pageMargins left="0.45" right="0.45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4"/>
  <sheetViews>
    <sheetView workbookViewId="0">
      <selection activeCell="D10" sqref="D10:D11"/>
    </sheetView>
  </sheetViews>
  <sheetFormatPr defaultRowHeight="15.75"/>
  <cols>
    <col min="1" max="1" width="27" style="3" customWidth="1"/>
    <col min="2" max="6" width="20.7109375" style="3" customWidth="1"/>
    <col min="7" max="7" width="20.140625" style="3" customWidth="1"/>
    <col min="8" max="16384" width="9.140625" style="3"/>
  </cols>
  <sheetData>
    <row r="1" spans="1:10">
      <c r="A1" s="144" t="s">
        <v>130</v>
      </c>
      <c r="B1" s="144"/>
      <c r="C1" s="144"/>
      <c r="D1" s="144"/>
      <c r="E1" s="144"/>
      <c r="F1" s="144"/>
      <c r="G1" s="2"/>
      <c r="H1" s="2"/>
      <c r="I1" s="2"/>
      <c r="J1" s="145"/>
    </row>
    <row r="2" spans="1:10">
      <c r="A2" s="2" t="s">
        <v>67</v>
      </c>
      <c r="B2" s="189" t="s">
        <v>68</v>
      </c>
      <c r="C2" s="189" t="s">
        <v>69</v>
      </c>
      <c r="D2" s="189" t="s">
        <v>70</v>
      </c>
      <c r="E2" s="189" t="s">
        <v>71</v>
      </c>
      <c r="F2" s="189" t="s">
        <v>72</v>
      </c>
      <c r="G2" s="189" t="s">
        <v>123</v>
      </c>
      <c r="H2" s="2"/>
      <c r="I2" s="2"/>
      <c r="J2" s="145"/>
    </row>
    <row r="3" spans="1:10">
      <c r="A3" s="2" t="s">
        <v>75</v>
      </c>
      <c r="B3" s="190">
        <v>43164</v>
      </c>
      <c r="C3" s="190">
        <v>43164</v>
      </c>
      <c r="D3" s="190">
        <v>43164</v>
      </c>
      <c r="E3" s="190">
        <v>43164</v>
      </c>
      <c r="F3" s="190">
        <v>43164</v>
      </c>
      <c r="G3" s="191">
        <v>43164</v>
      </c>
      <c r="H3" s="2"/>
      <c r="I3" s="2"/>
      <c r="J3" s="145"/>
    </row>
    <row r="4" spans="1:10">
      <c r="A4" s="150" t="s">
        <v>77</v>
      </c>
      <c r="B4" s="190">
        <v>43894</v>
      </c>
      <c r="C4" s="190">
        <v>44259</v>
      </c>
      <c r="D4" s="190">
        <v>44990</v>
      </c>
      <c r="E4" s="190">
        <v>46816</v>
      </c>
      <c r="F4" s="190">
        <v>54121</v>
      </c>
      <c r="G4" s="191">
        <v>61426</v>
      </c>
      <c r="H4" s="2"/>
      <c r="I4" s="2"/>
      <c r="J4" s="145"/>
    </row>
    <row r="5" spans="1:10">
      <c r="A5" s="2" t="s">
        <v>96</v>
      </c>
      <c r="B5" s="192" t="s">
        <v>131</v>
      </c>
      <c r="C5" s="192" t="s">
        <v>132</v>
      </c>
      <c r="D5" s="192" t="s">
        <v>133</v>
      </c>
      <c r="E5" s="192" t="s">
        <v>134</v>
      </c>
      <c r="F5" s="192" t="s">
        <v>135</v>
      </c>
      <c r="G5" s="193" t="s">
        <v>136</v>
      </c>
      <c r="H5" s="2"/>
      <c r="I5" s="2"/>
      <c r="J5" s="145"/>
    </row>
    <row r="6" spans="1:10">
      <c r="A6" s="2" t="s">
        <v>85</v>
      </c>
      <c r="B6" s="194">
        <v>-0.55100000000000005</v>
      </c>
      <c r="C6" s="194">
        <v>-0.439</v>
      </c>
      <c r="D6" s="194">
        <v>2.3E-2</v>
      </c>
      <c r="E6" s="194">
        <v>0.66</v>
      </c>
      <c r="F6" s="194">
        <v>1.304</v>
      </c>
      <c r="G6" s="193">
        <v>1.8120000000000001</v>
      </c>
      <c r="H6" s="2"/>
      <c r="I6" s="2"/>
      <c r="J6" s="145"/>
    </row>
    <row r="7" spans="1:10">
      <c r="A7" s="2" t="s">
        <v>102</v>
      </c>
      <c r="B7" s="185">
        <v>18.3</v>
      </c>
      <c r="C7" s="185">
        <v>30.1</v>
      </c>
      <c r="D7" s="185">
        <v>23.7</v>
      </c>
      <c r="E7" s="185">
        <v>27.6</v>
      </c>
      <c r="F7" s="185">
        <v>35</v>
      </c>
      <c r="G7" s="185">
        <v>-2.1</v>
      </c>
      <c r="H7" s="2"/>
      <c r="I7" s="2"/>
      <c r="J7" s="145"/>
    </row>
    <row r="8" spans="1:10">
      <c r="A8" s="2" t="s">
        <v>88</v>
      </c>
      <c r="B8" s="89">
        <v>-0.36799999999999999</v>
      </c>
      <c r="C8" s="89">
        <v>-0.13850000000000001</v>
      </c>
      <c r="D8" s="89">
        <v>0.26050000000000001</v>
      </c>
      <c r="E8" s="89">
        <v>0.93600000000000005</v>
      </c>
      <c r="F8" s="89">
        <v>1.6539999999999999</v>
      </c>
      <c r="G8" s="193">
        <v>1.7909999999999999</v>
      </c>
      <c r="H8" s="2"/>
      <c r="I8" s="2"/>
      <c r="J8" s="145"/>
    </row>
    <row r="9" spans="1:10">
      <c r="A9" s="2" t="s">
        <v>89</v>
      </c>
      <c r="B9" s="195">
        <v>3.5</v>
      </c>
      <c r="C9" s="195">
        <v>3</v>
      </c>
      <c r="D9" s="195">
        <v>2.5</v>
      </c>
      <c r="E9" s="195">
        <v>2</v>
      </c>
      <c r="F9" s="195">
        <v>2</v>
      </c>
      <c r="G9" s="193">
        <v>2</v>
      </c>
      <c r="H9" s="2"/>
      <c r="I9" s="2"/>
      <c r="J9" s="145"/>
    </row>
    <row r="10" spans="1:10">
      <c r="A10" s="2" t="s">
        <v>90</v>
      </c>
      <c r="B10" s="196">
        <v>-0.33300000000000002</v>
      </c>
      <c r="C10" s="196">
        <v>-0.109</v>
      </c>
      <c r="D10" s="196">
        <v>0.28599999999999998</v>
      </c>
      <c r="E10" s="196">
        <v>0.95599999999999996</v>
      </c>
      <c r="F10" s="196">
        <v>1.6739999999999999</v>
      </c>
      <c r="G10" s="193">
        <v>1.8109999999999999</v>
      </c>
      <c r="H10" s="2"/>
      <c r="I10" s="2"/>
      <c r="J10" s="145"/>
    </row>
    <row r="11" spans="1:10">
      <c r="A11" s="2" t="s">
        <v>91</v>
      </c>
      <c r="B11" s="197">
        <v>-0.11799999999999999</v>
      </c>
      <c r="C11" s="197">
        <v>8.2000000000000003E-2</v>
      </c>
      <c r="D11" s="197">
        <v>0.46100000000000002</v>
      </c>
      <c r="E11" s="197">
        <v>1.0860000000000001</v>
      </c>
      <c r="F11" s="197">
        <v>1.6040000000000001</v>
      </c>
      <c r="G11" s="193">
        <v>1.5409999999999999</v>
      </c>
      <c r="H11" s="2"/>
      <c r="I11" s="2"/>
      <c r="J11" s="145"/>
    </row>
    <row r="12" spans="1:10">
      <c r="A12" s="2"/>
      <c r="B12" s="196"/>
      <c r="C12" s="196"/>
      <c r="D12" s="196"/>
      <c r="E12" s="196"/>
      <c r="F12" s="196"/>
      <c r="G12" s="193"/>
      <c r="H12" s="2"/>
      <c r="I12" s="2"/>
      <c r="J12" s="145"/>
    </row>
    <row r="13" spans="1:10">
      <c r="A13" s="2" t="s">
        <v>103</v>
      </c>
      <c r="B13" s="210">
        <v>-21</v>
      </c>
      <c r="C13" s="210">
        <v>-19</v>
      </c>
      <c r="D13" s="210">
        <v>-17</v>
      </c>
      <c r="E13" s="210">
        <v>-13</v>
      </c>
      <c r="F13" s="210">
        <v>8</v>
      </c>
      <c r="G13" s="208">
        <v>28</v>
      </c>
      <c r="H13" s="2"/>
      <c r="I13" s="2"/>
      <c r="J13" s="145"/>
    </row>
    <row r="14" spans="1:10">
      <c r="A14" s="2" t="s">
        <v>104</v>
      </c>
      <c r="B14" s="210">
        <v>-15</v>
      </c>
      <c r="C14" s="210">
        <v>-11</v>
      </c>
      <c r="D14" s="210">
        <v>-9</v>
      </c>
      <c r="E14" s="210">
        <v>-4</v>
      </c>
      <c r="F14" s="210">
        <v>12</v>
      </c>
      <c r="G14" s="208">
        <v>32</v>
      </c>
      <c r="H14" s="2"/>
      <c r="I14" s="2"/>
      <c r="J14" s="145"/>
    </row>
    <row r="15" spans="1:10">
      <c r="A15" s="2"/>
      <c r="B15" s="199"/>
      <c r="C15" s="199"/>
      <c r="D15" s="199"/>
      <c r="E15" s="199"/>
      <c r="F15" s="199"/>
      <c r="G15" s="198"/>
      <c r="H15" s="2"/>
      <c r="I15" s="2"/>
      <c r="J15" s="145"/>
    </row>
    <row r="16" spans="1:10">
      <c r="A16" s="2" t="s">
        <v>92</v>
      </c>
      <c r="B16" s="208">
        <v>18</v>
      </c>
      <c r="C16" s="208">
        <v>20</v>
      </c>
      <c r="D16" s="208">
        <v>21</v>
      </c>
      <c r="E16" s="208">
        <v>25</v>
      </c>
      <c r="F16" s="208">
        <v>29</v>
      </c>
      <c r="G16" s="208">
        <v>42</v>
      </c>
      <c r="H16" s="2"/>
      <c r="I16" s="2"/>
      <c r="J16" s="145"/>
    </row>
    <row r="17" spans="1:10">
      <c r="A17" s="2" t="s">
        <v>93</v>
      </c>
      <c r="B17" s="188">
        <v>8</v>
      </c>
      <c r="C17" s="188">
        <v>9</v>
      </c>
      <c r="D17" s="188">
        <v>10</v>
      </c>
      <c r="E17" s="188">
        <v>13</v>
      </c>
      <c r="F17" s="188">
        <v>18</v>
      </c>
      <c r="G17" s="198">
        <v>31</v>
      </c>
      <c r="H17" s="2"/>
      <c r="I17" s="2"/>
      <c r="J17" s="145"/>
    </row>
    <row r="18" spans="1:10">
      <c r="A18" s="2"/>
      <c r="B18" s="2"/>
      <c r="C18" s="2"/>
      <c r="D18" s="2"/>
      <c r="E18" s="2"/>
      <c r="F18" s="2"/>
      <c r="G18" s="200"/>
      <c r="H18" s="2"/>
      <c r="I18" s="2"/>
      <c r="J18" s="145"/>
    </row>
    <row r="19" spans="1:10">
      <c r="A19" s="2"/>
      <c r="B19" s="2"/>
      <c r="C19" s="2"/>
      <c r="D19" s="2"/>
      <c r="E19" s="2"/>
      <c r="F19" s="2"/>
      <c r="G19" s="200"/>
      <c r="H19" s="2"/>
      <c r="I19" s="2"/>
      <c r="J19" s="145"/>
    </row>
    <row r="20" spans="1:10">
      <c r="A20" s="145"/>
      <c r="B20" s="2"/>
      <c r="C20" s="2"/>
      <c r="D20" s="2"/>
      <c r="E20" s="2"/>
      <c r="F20" s="2"/>
      <c r="G20" s="2"/>
      <c r="H20" s="2"/>
      <c r="I20" s="2"/>
      <c r="J20" s="145"/>
    </row>
    <row r="21" spans="1:10">
      <c r="G21" s="6"/>
      <c r="H21" s="6"/>
      <c r="I21" s="6"/>
    </row>
    <row r="22" spans="1:10">
      <c r="G22" s="6"/>
      <c r="H22" s="6"/>
      <c r="I22" s="6"/>
    </row>
    <row r="23" spans="1:10">
      <c r="G23" s="6"/>
      <c r="H23" s="6"/>
      <c r="I23" s="6"/>
    </row>
    <row r="24" spans="1:10">
      <c r="G24" s="6"/>
      <c r="H24" s="6"/>
      <c r="I24" s="6"/>
    </row>
  </sheetData>
  <mergeCells count="1">
    <mergeCell ref="A1:F1"/>
  </mergeCells>
  <pageMargins left="0.45" right="0.45" top="0.75" bottom="0.75" header="0.3" footer="0.3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8"/>
  <sheetViews>
    <sheetView topLeftCell="B1" workbookViewId="0">
      <selection activeCell="D8" sqref="D8"/>
    </sheetView>
  </sheetViews>
  <sheetFormatPr defaultRowHeight="15.75"/>
  <cols>
    <col min="1" max="1" width="27.7109375" style="3" customWidth="1"/>
    <col min="2" max="4" width="20.7109375" style="3" customWidth="1"/>
    <col min="5" max="6" width="22.42578125" style="3" customWidth="1"/>
    <col min="7" max="7" width="15" style="3" customWidth="1"/>
    <col min="8" max="8" width="17.42578125" style="3" customWidth="1"/>
    <col min="9" max="16384" width="9.140625" style="3"/>
  </cols>
  <sheetData>
    <row r="1" spans="1:10">
      <c r="A1" s="144" t="s">
        <v>121</v>
      </c>
      <c r="B1" s="144"/>
      <c r="C1" s="144"/>
      <c r="D1" s="144"/>
      <c r="E1" s="144"/>
      <c r="F1" s="144"/>
      <c r="G1" s="2"/>
      <c r="H1" s="2"/>
      <c r="I1" s="145"/>
      <c r="J1" s="145"/>
    </row>
    <row r="2" spans="1:10">
      <c r="A2" s="2" t="s">
        <v>67</v>
      </c>
      <c r="B2" s="146" t="s">
        <v>68</v>
      </c>
      <c r="C2" s="146" t="s">
        <v>69</v>
      </c>
      <c r="D2" s="146" t="s">
        <v>70</v>
      </c>
      <c r="E2" s="146" t="s">
        <v>71</v>
      </c>
      <c r="F2" s="146" t="s">
        <v>72</v>
      </c>
      <c r="G2" s="146" t="s">
        <v>122</v>
      </c>
      <c r="H2" s="146" t="s">
        <v>123</v>
      </c>
      <c r="I2" s="145"/>
      <c r="J2" s="145"/>
    </row>
    <row r="3" spans="1:10">
      <c r="A3" s="2" t="s">
        <v>75</v>
      </c>
      <c r="B3" s="182">
        <v>43164</v>
      </c>
      <c r="C3" s="182">
        <v>43164</v>
      </c>
      <c r="D3" s="182">
        <v>43164</v>
      </c>
      <c r="E3" s="182">
        <v>43164</v>
      </c>
      <c r="F3" s="182">
        <v>43164</v>
      </c>
      <c r="G3" s="182">
        <v>43164</v>
      </c>
      <c r="H3" s="182">
        <v>43164</v>
      </c>
      <c r="I3" s="145"/>
      <c r="J3" s="145"/>
    </row>
    <row r="4" spans="1:10">
      <c r="A4" s="150" t="s">
        <v>77</v>
      </c>
      <c r="B4" s="182">
        <v>43894</v>
      </c>
      <c r="C4" s="182">
        <v>44259</v>
      </c>
      <c r="D4" s="182">
        <v>44990</v>
      </c>
      <c r="E4" s="182">
        <v>46816</v>
      </c>
      <c r="F4" s="182">
        <v>54121</v>
      </c>
      <c r="G4" s="182">
        <v>57774</v>
      </c>
      <c r="H4" s="182">
        <v>61426</v>
      </c>
      <c r="I4" s="145"/>
      <c r="J4" s="145"/>
    </row>
    <row r="5" spans="1:10">
      <c r="A5" s="2" t="s">
        <v>79</v>
      </c>
      <c r="B5" s="183" t="s">
        <v>124</v>
      </c>
      <c r="C5" s="183" t="s">
        <v>125</v>
      </c>
      <c r="D5" s="183" t="s">
        <v>126</v>
      </c>
      <c r="E5" s="183" t="s">
        <v>127</v>
      </c>
      <c r="F5" s="183" t="s">
        <v>128</v>
      </c>
      <c r="G5" s="183" t="s">
        <v>128</v>
      </c>
      <c r="H5" s="183" t="s">
        <v>128</v>
      </c>
      <c r="I5" s="145"/>
      <c r="J5" s="145"/>
    </row>
    <row r="6" spans="1:10">
      <c r="A6" s="2" t="s">
        <v>85</v>
      </c>
      <c r="B6" s="184">
        <v>2.2679999999999998</v>
      </c>
      <c r="C6" s="184">
        <v>2.4</v>
      </c>
      <c r="D6" s="184">
        <v>2.6629999999999998</v>
      </c>
      <c r="E6" s="184">
        <v>2.883</v>
      </c>
      <c r="F6" s="184">
        <v>3.1419999999999999</v>
      </c>
      <c r="G6" s="184">
        <v>3.1419999999999999</v>
      </c>
      <c r="H6" s="184">
        <v>3.1419999999999999</v>
      </c>
      <c r="I6" s="145"/>
      <c r="J6" s="145"/>
    </row>
    <row r="7" spans="1:10">
      <c r="A7" s="2" t="s">
        <v>87</v>
      </c>
      <c r="B7" s="185">
        <v>23.4</v>
      </c>
      <c r="C7" s="185">
        <v>22.6</v>
      </c>
      <c r="D7" s="185">
        <v>18.7</v>
      </c>
      <c r="E7" s="185">
        <v>19.399999999999999</v>
      </c>
      <c r="F7" s="185">
        <v>57.3</v>
      </c>
      <c r="G7" s="185">
        <v>73.8</v>
      </c>
      <c r="H7" s="185">
        <v>103.8</v>
      </c>
      <c r="I7" s="145"/>
      <c r="J7" s="145"/>
    </row>
    <row r="8" spans="1:10">
      <c r="A8" s="2" t="s">
        <v>88</v>
      </c>
      <c r="B8" s="88">
        <v>2.5030000000000001</v>
      </c>
      <c r="C8" s="88">
        <v>2.625</v>
      </c>
      <c r="D8" s="88">
        <v>2.85</v>
      </c>
      <c r="E8" s="88">
        <v>3.077</v>
      </c>
      <c r="F8" s="88">
        <v>3.7149999999999999</v>
      </c>
      <c r="G8" s="88">
        <v>3.88</v>
      </c>
      <c r="H8" s="88">
        <v>4.18</v>
      </c>
      <c r="I8" s="145"/>
      <c r="J8" s="145"/>
    </row>
    <row r="9" spans="1:10">
      <c r="A9" s="2" t="s">
        <v>89</v>
      </c>
      <c r="B9" s="186">
        <v>3.8</v>
      </c>
      <c r="C9" s="186">
        <v>3.4</v>
      </c>
      <c r="D9" s="186">
        <v>2.5</v>
      </c>
      <c r="E9" s="186">
        <v>2</v>
      </c>
      <c r="F9" s="186">
        <v>2</v>
      </c>
      <c r="G9" s="186">
        <v>2</v>
      </c>
      <c r="H9" s="186">
        <v>2</v>
      </c>
      <c r="I9" s="145"/>
      <c r="J9" s="145"/>
    </row>
    <row r="10" spans="1:10">
      <c r="A10" s="2" t="s">
        <v>90</v>
      </c>
      <c r="B10" s="187">
        <v>2.5409999999999999</v>
      </c>
      <c r="C10" s="187">
        <v>2.6589999999999998</v>
      </c>
      <c r="D10" s="187">
        <v>2.875</v>
      </c>
      <c r="E10" s="187">
        <v>3.097</v>
      </c>
      <c r="F10" s="187">
        <v>3.7349999999999999</v>
      </c>
      <c r="G10" s="187">
        <v>3.9</v>
      </c>
      <c r="H10" s="187">
        <v>4.2</v>
      </c>
      <c r="I10" s="145"/>
      <c r="J10" s="145"/>
    </row>
    <row r="11" spans="1:10">
      <c r="A11" s="2" t="s">
        <v>91</v>
      </c>
      <c r="B11" s="187">
        <v>2.5529999999999999</v>
      </c>
      <c r="C11" s="187">
        <v>2.673</v>
      </c>
      <c r="D11" s="187">
        <v>2.77</v>
      </c>
      <c r="E11" s="187">
        <v>2.8969999999999998</v>
      </c>
      <c r="F11" s="187">
        <v>2.9649999999999999</v>
      </c>
      <c r="G11" s="187">
        <v>2.93</v>
      </c>
      <c r="H11" s="187">
        <v>2.93</v>
      </c>
      <c r="I11" s="145"/>
      <c r="J11" s="145"/>
    </row>
    <row r="12" spans="1:10">
      <c r="A12" s="2"/>
      <c r="B12" s="187"/>
      <c r="C12" s="187"/>
      <c r="D12" s="187"/>
      <c r="E12" s="187"/>
      <c r="F12" s="187"/>
      <c r="G12" s="187"/>
      <c r="H12" s="187"/>
      <c r="I12" s="145"/>
      <c r="J12" s="145"/>
    </row>
    <row r="13" spans="1:10">
      <c r="A13" s="2" t="s">
        <v>129</v>
      </c>
      <c r="B13" s="187">
        <v>-5</v>
      </c>
      <c r="C13" s="187">
        <v>-2</v>
      </c>
      <c r="D13" s="187">
        <v>8</v>
      </c>
      <c r="E13" s="187">
        <v>18</v>
      </c>
      <c r="F13" s="187">
        <v>75</v>
      </c>
      <c r="G13" s="187">
        <v>95</v>
      </c>
      <c r="H13" s="187">
        <v>125</v>
      </c>
      <c r="I13" s="145"/>
      <c r="J13" s="145"/>
    </row>
    <row r="14" spans="1:10">
      <c r="A14" s="2" t="s">
        <v>92</v>
      </c>
      <c r="B14" s="208">
        <v>-0.7</v>
      </c>
      <c r="C14" s="208">
        <v>1.9</v>
      </c>
      <c r="D14" s="208">
        <v>11</v>
      </c>
      <c r="E14" s="208">
        <v>20.5</v>
      </c>
      <c r="F14" s="208">
        <v>77.5</v>
      </c>
      <c r="G14" s="208">
        <v>97.5</v>
      </c>
      <c r="H14" s="208">
        <v>127.5</v>
      </c>
      <c r="I14" s="145"/>
      <c r="J14" s="145"/>
    </row>
    <row r="15" spans="1:10">
      <c r="A15" s="2" t="s">
        <v>93</v>
      </c>
      <c r="B15" s="208">
        <v>-11.1</v>
      </c>
      <c r="C15" s="208">
        <v>-8.6999999999999993</v>
      </c>
      <c r="D15" s="208">
        <v>-0.1</v>
      </c>
      <c r="E15" s="208">
        <v>8.5</v>
      </c>
      <c r="F15" s="208">
        <v>65.8</v>
      </c>
      <c r="G15" s="208">
        <v>85.8</v>
      </c>
      <c r="H15" s="208">
        <v>115.8</v>
      </c>
      <c r="I15" s="145"/>
      <c r="J15" s="145"/>
    </row>
    <row r="16" spans="1:10">
      <c r="A16" s="2"/>
      <c r="B16" s="2"/>
      <c r="C16" s="2"/>
      <c r="D16" s="2"/>
      <c r="E16" s="2"/>
      <c r="F16" s="2"/>
      <c r="G16" s="2"/>
      <c r="H16" s="2"/>
      <c r="I16" s="145"/>
      <c r="J16" s="145"/>
    </row>
    <row r="17" spans="1:10">
      <c r="A17" s="2"/>
      <c r="B17" s="2"/>
      <c r="C17" s="2"/>
      <c r="D17" s="2"/>
      <c r="E17" s="2"/>
      <c r="F17" s="2"/>
      <c r="G17" s="145"/>
      <c r="H17" s="145"/>
      <c r="I17" s="145"/>
      <c r="J17" s="145"/>
    </row>
    <row r="18" spans="1:10">
      <c r="A18" s="145"/>
      <c r="B18" s="2"/>
      <c r="C18" s="2"/>
      <c r="D18" s="2"/>
      <c r="E18" s="2"/>
      <c r="F18" s="2"/>
      <c r="G18" s="145"/>
      <c r="H18" s="145"/>
      <c r="I18" s="145"/>
      <c r="J18" s="145"/>
    </row>
  </sheetData>
  <mergeCells count="1">
    <mergeCell ref="A1:F1"/>
  </mergeCells>
  <pageMargins left="0.45" right="0.45" top="0.75" bottom="0.75" header="0.3" footer="0.3"/>
  <pageSetup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4"/>
  <sheetViews>
    <sheetView workbookViewId="0">
      <selection activeCell="E27" sqref="E27"/>
    </sheetView>
  </sheetViews>
  <sheetFormatPr defaultRowHeight="15.75"/>
  <cols>
    <col min="1" max="1" width="27" style="3" customWidth="1"/>
    <col min="2" max="6" width="20.7109375" style="3" customWidth="1"/>
    <col min="7" max="7" width="20.85546875" style="3" bestFit="1" customWidth="1"/>
    <col min="8" max="16384" width="9.140625" style="3"/>
  </cols>
  <sheetData>
    <row r="1" spans="1:10">
      <c r="A1" s="163" t="s">
        <v>114</v>
      </c>
      <c r="B1" s="163"/>
      <c r="C1" s="163"/>
      <c r="D1" s="163"/>
      <c r="E1" s="163"/>
      <c r="F1" s="163"/>
      <c r="G1" s="2"/>
      <c r="H1" s="2"/>
      <c r="I1" s="2"/>
      <c r="J1" s="145"/>
    </row>
    <row r="2" spans="1:10">
      <c r="A2" s="2" t="s">
        <v>67</v>
      </c>
      <c r="B2" s="146" t="s">
        <v>68</v>
      </c>
      <c r="C2" s="146" t="s">
        <v>69</v>
      </c>
      <c r="D2" s="146" t="s">
        <v>70</v>
      </c>
      <c r="E2" s="146" t="s">
        <v>71</v>
      </c>
      <c r="F2" s="146" t="s">
        <v>72</v>
      </c>
      <c r="G2" s="147" t="s">
        <v>95</v>
      </c>
      <c r="H2" s="2"/>
      <c r="I2" s="2"/>
      <c r="J2" s="145"/>
    </row>
    <row r="3" spans="1:10">
      <c r="A3" s="2" t="s">
        <v>75</v>
      </c>
      <c r="B3" s="81">
        <v>43166</v>
      </c>
      <c r="C3" s="81">
        <v>43166</v>
      </c>
      <c r="D3" s="81">
        <v>43166</v>
      </c>
      <c r="E3" s="81">
        <v>43166</v>
      </c>
      <c r="F3" s="81">
        <v>43166</v>
      </c>
      <c r="G3" s="81">
        <v>43166</v>
      </c>
      <c r="H3" s="181"/>
      <c r="I3" s="177"/>
      <c r="J3" s="145"/>
    </row>
    <row r="4" spans="1:10">
      <c r="A4" s="150" t="s">
        <v>77</v>
      </c>
      <c r="B4" s="81">
        <v>43896</v>
      </c>
      <c r="C4" s="81">
        <v>44261</v>
      </c>
      <c r="D4" s="81">
        <v>44991</v>
      </c>
      <c r="E4" s="81">
        <v>46816</v>
      </c>
      <c r="F4" s="81">
        <v>54116</v>
      </c>
      <c r="G4" s="81">
        <v>61416</v>
      </c>
      <c r="H4" s="181"/>
      <c r="I4" s="177"/>
      <c r="J4" s="145"/>
    </row>
    <row r="5" spans="1:10">
      <c r="A5" s="2" t="s">
        <v>96</v>
      </c>
      <c r="B5" s="82" t="s">
        <v>115</v>
      </c>
      <c r="C5" s="82" t="s">
        <v>116</v>
      </c>
      <c r="D5" s="82" t="s">
        <v>117</v>
      </c>
      <c r="E5" s="82" t="s">
        <v>118</v>
      </c>
      <c r="F5" s="82" t="s">
        <v>119</v>
      </c>
      <c r="G5" s="82" t="s">
        <v>120</v>
      </c>
      <c r="I5" s="177"/>
      <c r="J5" s="145"/>
    </row>
    <row r="6" spans="1:10">
      <c r="A6" s="2" t="s">
        <v>85</v>
      </c>
      <c r="B6" s="83">
        <v>-0.54300000000000004</v>
      </c>
      <c r="C6" s="83">
        <v>-0.377</v>
      </c>
      <c r="D6" s="83">
        <v>2.5999999999999999E-2</v>
      </c>
      <c r="E6" s="83">
        <v>0.65900000000000003</v>
      </c>
      <c r="F6" s="83">
        <v>1.304</v>
      </c>
      <c r="G6" s="83">
        <v>1.873</v>
      </c>
      <c r="I6" s="177"/>
      <c r="J6" s="145"/>
    </row>
    <row r="7" spans="1:10">
      <c r="A7" s="2" t="s">
        <v>102</v>
      </c>
      <c r="B7" s="84">
        <v>14.480000000000004</v>
      </c>
      <c r="C7" s="84">
        <v>20.479999999999997</v>
      </c>
      <c r="D7" s="84">
        <v>23.289999999999996</v>
      </c>
      <c r="E7" s="84">
        <v>28.399999999999991</v>
      </c>
      <c r="F7" s="84">
        <v>36.270000000000003</v>
      </c>
      <c r="G7" s="84">
        <v>1.8999999999999906</v>
      </c>
      <c r="I7" s="177"/>
      <c r="J7" s="145"/>
    </row>
    <row r="8" spans="1:10">
      <c r="A8" s="2" t="s">
        <v>88</v>
      </c>
      <c r="B8" s="85">
        <v>-0.3982</v>
      </c>
      <c r="C8" s="85">
        <v>-0.17220000000000002</v>
      </c>
      <c r="D8" s="85">
        <v>0.25889999999999996</v>
      </c>
      <c r="E8" s="85">
        <v>0.94299999999999995</v>
      </c>
      <c r="F8" s="85">
        <v>1.6667000000000001</v>
      </c>
      <c r="G8" s="85">
        <v>1.8919999999999999</v>
      </c>
      <c r="I8" s="177"/>
      <c r="J8" s="145"/>
    </row>
    <row r="9" spans="1:10">
      <c r="A9" s="2" t="s">
        <v>89</v>
      </c>
      <c r="B9" s="83">
        <v>3.6</v>
      </c>
      <c r="C9" s="83">
        <v>3.1</v>
      </c>
      <c r="D9" s="83">
        <v>2.4</v>
      </c>
      <c r="E9" s="83">
        <v>1.8</v>
      </c>
      <c r="F9" s="83">
        <v>0.9</v>
      </c>
      <c r="G9" s="83">
        <v>0.9</v>
      </c>
      <c r="I9" s="177"/>
      <c r="J9" s="145"/>
    </row>
    <row r="10" spans="1:10">
      <c r="A10" s="2" t="s">
        <v>90</v>
      </c>
      <c r="B10" s="83">
        <v>-0.36219999999999997</v>
      </c>
      <c r="C10" s="83">
        <v>-0.14120000000000002</v>
      </c>
      <c r="D10" s="83">
        <v>0.28289999999999998</v>
      </c>
      <c r="E10" s="83">
        <v>0.96099999999999997</v>
      </c>
      <c r="F10" s="83">
        <v>1.6757</v>
      </c>
      <c r="G10" s="83">
        <v>1.9009999999999998</v>
      </c>
      <c r="I10" s="177"/>
      <c r="J10" s="145"/>
    </row>
    <row r="11" spans="1:10">
      <c r="A11" s="2" t="s">
        <v>91</v>
      </c>
      <c r="B11" s="85">
        <v>-0.1182</v>
      </c>
      <c r="C11" s="85">
        <v>7.7799999999999994E-2</v>
      </c>
      <c r="D11" s="85">
        <v>0.45889999999999997</v>
      </c>
      <c r="E11" s="85">
        <v>1.083</v>
      </c>
      <c r="F11" s="85">
        <v>1.6167</v>
      </c>
      <c r="G11" s="85">
        <v>1.542</v>
      </c>
      <c r="I11" s="177"/>
      <c r="J11" s="145"/>
    </row>
    <row r="12" spans="1:10">
      <c r="A12" s="2"/>
      <c r="B12" s="140"/>
      <c r="C12" s="140"/>
      <c r="D12" s="140"/>
      <c r="E12" s="140"/>
      <c r="F12" s="140"/>
      <c r="G12" s="140"/>
      <c r="I12" s="177"/>
      <c r="J12" s="145"/>
    </row>
    <row r="13" spans="1:10">
      <c r="A13" s="2" t="s">
        <v>103</v>
      </c>
      <c r="B13" s="118">
        <v>-24.4</v>
      </c>
      <c r="C13" s="118">
        <v>-21.9</v>
      </c>
      <c r="D13" s="118">
        <v>-17.600000000000001</v>
      </c>
      <c r="E13" s="118">
        <v>-12.2</v>
      </c>
      <c r="F13" s="118">
        <v>5.9</v>
      </c>
      <c r="G13" s="118">
        <v>35.9</v>
      </c>
      <c r="I13" s="177"/>
      <c r="J13" s="145"/>
    </row>
    <row r="14" spans="1:10">
      <c r="A14" s="2" t="s">
        <v>104</v>
      </c>
      <c r="B14" s="118">
        <v>-18.549999999999997</v>
      </c>
      <c r="C14" s="118">
        <v>-15.349999999999998</v>
      </c>
      <c r="D14" s="118">
        <v>-9.9000000000000021</v>
      </c>
      <c r="E14" s="118">
        <v>-4</v>
      </c>
      <c r="F14" s="118">
        <v>10.25</v>
      </c>
      <c r="G14" s="118">
        <v>38.799999999999997</v>
      </c>
      <c r="I14" s="177"/>
      <c r="J14" s="145"/>
    </row>
    <row r="15" spans="1:10">
      <c r="A15" s="2"/>
      <c r="B15" s="141"/>
      <c r="C15" s="141"/>
      <c r="D15" s="141"/>
      <c r="E15" s="141"/>
      <c r="F15" s="142"/>
      <c r="G15" s="143"/>
      <c r="I15" s="177"/>
      <c r="J15" s="145"/>
    </row>
    <row r="16" spans="1:10">
      <c r="A16" s="2" t="s">
        <v>92</v>
      </c>
      <c r="B16" s="118">
        <v>13.575000000000003</v>
      </c>
      <c r="C16" s="118">
        <v>15.525000000000002</v>
      </c>
      <c r="D16" s="118">
        <v>19.474999999999998</v>
      </c>
      <c r="E16" s="118">
        <v>23.875</v>
      </c>
      <c r="F16" s="118">
        <v>18.875</v>
      </c>
      <c r="G16" s="118">
        <v>49.55</v>
      </c>
      <c r="I16" s="177"/>
      <c r="J16" s="145"/>
    </row>
    <row r="17" spans="1:10">
      <c r="A17" s="2" t="s">
        <v>93</v>
      </c>
      <c r="B17" s="86">
        <v>2.7000000000000028</v>
      </c>
      <c r="C17" s="86">
        <v>4.5250000000000021</v>
      </c>
      <c r="D17" s="86">
        <v>8.0999999999999979</v>
      </c>
      <c r="E17" s="86">
        <v>11.625</v>
      </c>
      <c r="F17" s="86">
        <v>6.75</v>
      </c>
      <c r="G17" s="87">
        <v>35.299999999999997</v>
      </c>
      <c r="I17" s="177"/>
      <c r="J17" s="145"/>
    </row>
    <row r="18" spans="1:10">
      <c r="A18" s="2"/>
      <c r="B18" s="2"/>
      <c r="C18" s="2"/>
      <c r="D18" s="2"/>
      <c r="E18" s="2"/>
      <c r="F18" s="2"/>
      <c r="G18" s="177"/>
      <c r="H18" s="177"/>
      <c r="I18" s="177"/>
      <c r="J18" s="145"/>
    </row>
    <row r="19" spans="1:10">
      <c r="A19" s="2"/>
      <c r="B19" s="177"/>
      <c r="C19" s="177"/>
      <c r="D19" s="177"/>
      <c r="E19" s="177"/>
      <c r="F19" s="177"/>
      <c r="G19" s="177"/>
      <c r="H19" s="177"/>
      <c r="I19" s="177"/>
      <c r="J19" s="145"/>
    </row>
    <row r="20" spans="1:10" hidden="1">
      <c r="A20" s="145"/>
      <c r="B20" s="180">
        <f>B8-B11</f>
        <v>-0.28000000000000003</v>
      </c>
      <c r="C20" s="180">
        <f>C8-C11</f>
        <v>-0.25</v>
      </c>
      <c r="D20" s="180">
        <f>D8-D11</f>
        <v>-0.2</v>
      </c>
      <c r="E20" s="180">
        <f>E8-E11</f>
        <v>-0.14000000000000001</v>
      </c>
      <c r="F20" s="180">
        <f>F8-F11</f>
        <v>5.0000000000000044E-2</v>
      </c>
      <c r="G20" s="177"/>
      <c r="H20" s="177"/>
      <c r="I20" s="177"/>
      <c r="J20" s="145"/>
    </row>
    <row r="21" spans="1:10">
      <c r="G21" s="6"/>
      <c r="H21" s="6"/>
      <c r="I21" s="6"/>
    </row>
    <row r="22" spans="1:10">
      <c r="G22" s="6"/>
      <c r="H22" s="6"/>
      <c r="I22" s="6"/>
    </row>
    <row r="23" spans="1:10">
      <c r="G23" s="6"/>
      <c r="H23" s="6"/>
      <c r="I23" s="6"/>
    </row>
    <row r="24" spans="1:10">
      <c r="G24" s="6"/>
      <c r="H24" s="6"/>
      <c r="I24" s="6"/>
    </row>
  </sheetData>
  <mergeCells count="1">
    <mergeCell ref="A1:F1"/>
  </mergeCells>
  <pageMargins left="0.45" right="0.45" top="0.75" bottom="0.75" header="0.3" footer="0.3"/>
  <pageSetup orientation="landscape" r:id="rId1"/>
  <headerFooter>
    <oddFooter>&amp;CConfidential</oddFooter>
    <evenFooter>&amp;CConfidential</evenFooter>
    <firstFooter>&amp;CConfidential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1"/>
  <sheetViews>
    <sheetView topLeftCell="A12" workbookViewId="0">
      <selection activeCell="B21" sqref="B21:G21"/>
    </sheetView>
  </sheetViews>
  <sheetFormatPr defaultRowHeight="15.75"/>
  <cols>
    <col min="1" max="1" width="27" style="3" customWidth="1"/>
    <col min="2" max="3" width="19.7109375" style="3" bestFit="1" customWidth="1"/>
    <col min="4" max="4" width="19.140625" style="3" bestFit="1" customWidth="1"/>
    <col min="5" max="7" width="19.42578125" style="3" bestFit="1" customWidth="1"/>
    <col min="8" max="16384" width="9.140625" style="3"/>
  </cols>
  <sheetData>
    <row r="1" spans="1:10">
      <c r="A1" s="163" t="s">
        <v>114</v>
      </c>
      <c r="B1" s="163"/>
      <c r="C1" s="163"/>
      <c r="D1" s="163"/>
      <c r="E1" s="163"/>
      <c r="F1" s="163"/>
      <c r="G1" s="163"/>
      <c r="H1" s="2"/>
      <c r="I1" s="2"/>
      <c r="J1" s="145"/>
    </row>
    <row r="2" spans="1:10">
      <c r="A2" s="2" t="s">
        <v>67</v>
      </c>
      <c r="B2" s="146" t="s">
        <v>68</v>
      </c>
      <c r="C2" s="146" t="s">
        <v>69</v>
      </c>
      <c r="D2" s="146" t="s">
        <v>70</v>
      </c>
      <c r="E2" s="146" t="s">
        <v>71</v>
      </c>
      <c r="F2" s="146" t="s">
        <v>72</v>
      </c>
      <c r="G2" s="147" t="s">
        <v>95</v>
      </c>
      <c r="H2" s="2"/>
      <c r="I2" s="2"/>
      <c r="J2" s="145"/>
    </row>
    <row r="3" spans="1:10">
      <c r="A3" s="2" t="s">
        <v>178</v>
      </c>
      <c r="B3" s="164">
        <v>43159</v>
      </c>
      <c r="C3" s="164">
        <v>43159</v>
      </c>
      <c r="D3" s="164">
        <v>43159</v>
      </c>
      <c r="E3" s="164">
        <v>43159</v>
      </c>
      <c r="F3" s="164">
        <v>43159</v>
      </c>
      <c r="G3" s="164">
        <v>43159</v>
      </c>
      <c r="H3" s="2"/>
      <c r="I3" s="2"/>
      <c r="J3" s="145"/>
    </row>
    <row r="4" spans="1:10">
      <c r="A4" s="2" t="s">
        <v>75</v>
      </c>
      <c r="B4" s="164">
        <v>43164</v>
      </c>
      <c r="C4" s="164">
        <v>43164</v>
      </c>
      <c r="D4" s="164">
        <v>43164</v>
      </c>
      <c r="E4" s="164">
        <v>43164</v>
      </c>
      <c r="F4" s="164">
        <v>43164</v>
      </c>
      <c r="G4" s="164">
        <v>43164</v>
      </c>
      <c r="H4" s="176"/>
      <c r="I4" s="177"/>
      <c r="J4" s="145"/>
    </row>
    <row r="5" spans="1:10">
      <c r="A5" s="150" t="s">
        <v>77</v>
      </c>
      <c r="B5" s="120">
        <v>43895</v>
      </c>
      <c r="C5" s="120">
        <v>44260</v>
      </c>
      <c r="D5" s="120">
        <v>44990</v>
      </c>
      <c r="E5" s="120">
        <v>46817</v>
      </c>
      <c r="F5" s="120">
        <v>54122</v>
      </c>
      <c r="G5" s="120">
        <v>61427</v>
      </c>
      <c r="I5" s="177"/>
      <c r="J5" s="145"/>
    </row>
    <row r="6" spans="1:10">
      <c r="A6" s="2" t="s">
        <v>96</v>
      </c>
      <c r="B6" s="121" t="s">
        <v>179</v>
      </c>
      <c r="C6" s="121" t="s">
        <v>180</v>
      </c>
      <c r="D6" s="121" t="s">
        <v>181</v>
      </c>
      <c r="E6" s="121" t="s">
        <v>182</v>
      </c>
      <c r="F6" s="121" t="s">
        <v>183</v>
      </c>
      <c r="G6" s="121" t="s">
        <v>183</v>
      </c>
      <c r="I6" s="177"/>
      <c r="J6" s="145"/>
    </row>
    <row r="7" spans="1:10" hidden="1">
      <c r="A7" s="2" t="s">
        <v>96</v>
      </c>
      <c r="B7" s="44" t="s">
        <v>97</v>
      </c>
      <c r="C7" s="44" t="s">
        <v>98</v>
      </c>
      <c r="D7" s="44" t="s">
        <v>99</v>
      </c>
      <c r="E7" s="44" t="s">
        <v>100</v>
      </c>
      <c r="F7" s="44" t="s">
        <v>101</v>
      </c>
      <c r="G7" s="44" t="s">
        <v>101</v>
      </c>
      <c r="I7" s="177"/>
      <c r="J7" s="145"/>
    </row>
    <row r="8" spans="1:10" hidden="1">
      <c r="A8" s="2"/>
      <c r="B8" s="121" t="s">
        <v>184</v>
      </c>
      <c r="C8" s="121" t="s">
        <v>185</v>
      </c>
      <c r="D8" s="121" t="s">
        <v>185</v>
      </c>
      <c r="E8" s="121" t="s">
        <v>186</v>
      </c>
      <c r="F8" s="121" t="s">
        <v>186</v>
      </c>
      <c r="G8" s="121" t="s">
        <v>186</v>
      </c>
      <c r="I8" s="177"/>
      <c r="J8" s="145"/>
    </row>
    <row r="9" spans="1:10" hidden="1">
      <c r="A9" s="2"/>
      <c r="B9" s="121" t="s">
        <v>171</v>
      </c>
      <c r="C9" s="121" t="s">
        <v>171</v>
      </c>
      <c r="D9" s="121" t="s">
        <v>171</v>
      </c>
      <c r="E9" s="121" t="s">
        <v>187</v>
      </c>
      <c r="F9" s="121" t="s">
        <v>188</v>
      </c>
      <c r="G9" s="121" t="s">
        <v>188</v>
      </c>
      <c r="I9" s="177"/>
      <c r="J9" s="145"/>
    </row>
    <row r="10" spans="1:10" hidden="1">
      <c r="A10" s="2"/>
      <c r="B10" s="122" t="s">
        <v>189</v>
      </c>
      <c r="C10" s="122" t="s">
        <v>190</v>
      </c>
      <c r="D10" s="122" t="s">
        <v>191</v>
      </c>
      <c r="E10" s="122" t="s">
        <v>175</v>
      </c>
      <c r="F10" s="122" t="s">
        <v>192</v>
      </c>
      <c r="G10" s="122" t="s">
        <v>192</v>
      </c>
      <c r="I10" s="177"/>
      <c r="J10" s="145"/>
    </row>
    <row r="11" spans="1:10" hidden="1">
      <c r="A11" s="2"/>
      <c r="B11" s="123">
        <v>7378</v>
      </c>
      <c r="C11" s="123">
        <v>7770</v>
      </c>
      <c r="D11" s="123">
        <v>8505</v>
      </c>
      <c r="E11" s="123">
        <v>10273</v>
      </c>
      <c r="F11" s="123">
        <v>17760</v>
      </c>
      <c r="G11" s="123">
        <v>17760</v>
      </c>
      <c r="I11" s="177"/>
      <c r="J11" s="145"/>
    </row>
    <row r="12" spans="1:10">
      <c r="A12" s="2" t="s">
        <v>85</v>
      </c>
      <c r="B12" s="124">
        <v>-5.5600000000000007E-3</v>
      </c>
      <c r="C12" s="124">
        <v>-3.8600000000000001E-3</v>
      </c>
      <c r="D12" s="124">
        <v>2.1000000000000001E-4</v>
      </c>
      <c r="E12" s="124">
        <v>6.5599999999999999E-3</v>
      </c>
      <c r="F12" s="124">
        <v>1.299E-2</v>
      </c>
      <c r="G12" s="124">
        <v>1.299E-2</v>
      </c>
      <c r="I12" s="177"/>
      <c r="J12" s="145"/>
    </row>
    <row r="13" spans="1:10">
      <c r="A13" s="2" t="s">
        <v>102</v>
      </c>
      <c r="B13" s="125">
        <v>17.79000000000001</v>
      </c>
      <c r="C13" s="125">
        <v>22.500000000000004</v>
      </c>
      <c r="D13" s="125">
        <v>23.86</v>
      </c>
      <c r="E13" s="125">
        <v>26.230000000000004</v>
      </c>
      <c r="F13" s="125">
        <v>36.1</v>
      </c>
      <c r="G13" s="125">
        <v>54.730000000000004</v>
      </c>
      <c r="I13" s="177"/>
      <c r="J13" s="145"/>
    </row>
    <row r="14" spans="1:10">
      <c r="A14" s="2" t="s">
        <v>88</v>
      </c>
      <c r="B14" s="127">
        <v>-3.7809999999999996E-3</v>
      </c>
      <c r="C14" s="127">
        <v>-1.6099999999999999E-3</v>
      </c>
      <c r="D14" s="127">
        <v>2.5960000000000002E-3</v>
      </c>
      <c r="E14" s="127">
        <v>9.1830000000000002E-3</v>
      </c>
      <c r="F14" s="127">
        <v>1.66E-2</v>
      </c>
      <c r="G14" s="127">
        <v>1.8463E-2</v>
      </c>
      <c r="I14" s="177"/>
      <c r="J14" s="145"/>
    </row>
    <row r="15" spans="1:10">
      <c r="A15" s="2" t="s">
        <v>89</v>
      </c>
      <c r="B15" s="126">
        <v>3.8</v>
      </c>
      <c r="C15" s="126">
        <v>3.4</v>
      </c>
      <c r="D15" s="126">
        <v>2.6</v>
      </c>
      <c r="E15" s="126">
        <v>1.9</v>
      </c>
      <c r="F15" s="126">
        <v>1.3</v>
      </c>
      <c r="G15" s="126">
        <v>1.3</v>
      </c>
      <c r="I15" s="177"/>
      <c r="J15" s="145"/>
    </row>
    <row r="16" spans="1:10">
      <c r="A16" s="2" t="s">
        <v>90</v>
      </c>
      <c r="B16" s="124">
        <v>-3.4009999999999995E-3</v>
      </c>
      <c r="C16" s="124">
        <v>-1.2699999999999999E-3</v>
      </c>
      <c r="D16" s="124">
        <v>2.856E-3</v>
      </c>
      <c r="E16" s="124">
        <v>9.3729999999999994E-3</v>
      </c>
      <c r="F16" s="124">
        <v>1.6730000000000002E-2</v>
      </c>
      <c r="G16" s="124">
        <v>1.8593000000000002E-2</v>
      </c>
      <c r="I16" s="177"/>
      <c r="J16" s="145"/>
    </row>
    <row r="17" spans="1:10">
      <c r="A17" s="2" t="s">
        <v>91</v>
      </c>
      <c r="B17" s="127">
        <v>-1.181E-3</v>
      </c>
      <c r="C17" s="127">
        <v>7.9000000000000001E-4</v>
      </c>
      <c r="D17" s="127">
        <v>4.5960000000000003E-3</v>
      </c>
      <c r="E17" s="127">
        <v>1.0883E-2</v>
      </c>
      <c r="F17" s="127">
        <v>1.61E-2</v>
      </c>
      <c r="G17" s="127">
        <v>1.5462999999999999E-2</v>
      </c>
      <c r="I17" s="177"/>
      <c r="J17" s="145"/>
    </row>
    <row r="18" spans="1:10">
      <c r="A18" s="2"/>
      <c r="B18" s="178"/>
      <c r="C18" s="178"/>
      <c r="D18" s="178"/>
      <c r="E18" s="178"/>
      <c r="F18" s="178"/>
      <c r="G18" s="178"/>
      <c r="I18" s="177"/>
      <c r="J18" s="145"/>
    </row>
    <row r="19" spans="1:10">
      <c r="A19" s="2" t="s">
        <v>193</v>
      </c>
      <c r="B19" s="134">
        <v>-26</v>
      </c>
      <c r="C19" s="134">
        <v>-24</v>
      </c>
      <c r="D19" s="134">
        <v>-20</v>
      </c>
      <c r="E19" s="134">
        <v>-17</v>
      </c>
      <c r="F19" s="84">
        <v>5</v>
      </c>
      <c r="G19" s="84">
        <v>30</v>
      </c>
      <c r="I19" s="177"/>
      <c r="J19" s="145"/>
    </row>
    <row r="20" spans="1:10">
      <c r="A20" s="2" t="s">
        <v>103</v>
      </c>
      <c r="B20" s="118">
        <v>-22</v>
      </c>
      <c r="C20" s="118">
        <v>-20.427451463989577</v>
      </c>
      <c r="D20" s="118">
        <v>-17.2</v>
      </c>
      <c r="E20" s="118">
        <v>-14.9</v>
      </c>
      <c r="F20" s="118">
        <v>6.3</v>
      </c>
      <c r="G20" s="118">
        <v>31</v>
      </c>
      <c r="I20" s="177"/>
      <c r="J20" s="145"/>
    </row>
    <row r="21" spans="1:10">
      <c r="A21" s="2" t="s">
        <v>104</v>
      </c>
      <c r="B21" s="135">
        <v>-16.2</v>
      </c>
      <c r="C21" s="135">
        <v>-13.9</v>
      </c>
      <c r="D21" s="135">
        <v>-9.5</v>
      </c>
      <c r="E21" s="135">
        <v>-6.7</v>
      </c>
      <c r="F21" s="135">
        <v>10.7</v>
      </c>
      <c r="G21" s="136">
        <v>36</v>
      </c>
      <c r="I21" s="177"/>
      <c r="J21" s="145"/>
    </row>
    <row r="22" spans="1:10">
      <c r="A22" s="2"/>
      <c r="B22" s="44"/>
      <c r="C22" s="44"/>
      <c r="D22" s="44"/>
      <c r="E22" s="44"/>
      <c r="F22" s="44"/>
      <c r="G22" s="179"/>
      <c r="I22" s="177"/>
      <c r="J22" s="145"/>
    </row>
    <row r="23" spans="1:10">
      <c r="A23" s="2" t="s">
        <v>92</v>
      </c>
      <c r="B23" s="135">
        <v>16.899999999999999</v>
      </c>
      <c r="C23" s="135">
        <v>18</v>
      </c>
      <c r="D23" s="135">
        <v>20.9</v>
      </c>
      <c r="E23" s="135">
        <v>22.3</v>
      </c>
      <c r="F23" s="135">
        <v>18.100000000000001</v>
      </c>
      <c r="G23" s="136">
        <v>39.700000000000003</v>
      </c>
      <c r="I23" s="177"/>
      <c r="J23" s="145"/>
    </row>
    <row r="24" spans="1:10">
      <c r="A24" s="2" t="s">
        <v>93</v>
      </c>
      <c r="B24" s="135">
        <v>6</v>
      </c>
      <c r="C24" s="135">
        <v>6.9</v>
      </c>
      <c r="D24" s="135">
        <v>9.4</v>
      </c>
      <c r="E24" s="135">
        <v>9.9</v>
      </c>
      <c r="F24" s="135">
        <v>5.9</v>
      </c>
      <c r="G24" s="136">
        <v>27.6</v>
      </c>
      <c r="I24" s="177"/>
      <c r="J24" s="145"/>
    </row>
    <row r="25" spans="1:10">
      <c r="A25" s="2"/>
      <c r="B25" s="2"/>
      <c r="C25" s="2"/>
      <c r="D25" s="2"/>
      <c r="E25" s="2"/>
      <c r="F25" s="2"/>
      <c r="G25" s="2"/>
      <c r="H25" s="177"/>
      <c r="I25" s="177"/>
      <c r="J25" s="145"/>
    </row>
    <row r="26" spans="1:10">
      <c r="A26" s="2"/>
      <c r="B26" s="177"/>
      <c r="C26" s="177"/>
      <c r="D26" s="177"/>
      <c r="E26" s="177"/>
      <c r="F26" s="177"/>
      <c r="G26" s="2"/>
      <c r="H26" s="177"/>
      <c r="I26" s="177"/>
      <c r="J26" s="145"/>
    </row>
    <row r="27" spans="1:10" hidden="1">
      <c r="A27" s="145"/>
      <c r="B27" s="180">
        <f>B14-B17</f>
        <v>-2.5999999999999999E-3</v>
      </c>
      <c r="C27" s="180"/>
      <c r="D27" s="180"/>
      <c r="E27" s="180"/>
      <c r="F27" s="180"/>
      <c r="G27" s="177"/>
      <c r="H27" s="177"/>
      <c r="I27" s="177"/>
      <c r="J27" s="145"/>
    </row>
    <row r="28" spans="1:10">
      <c r="G28" s="6"/>
      <c r="H28" s="6"/>
      <c r="I28" s="6"/>
    </row>
    <row r="29" spans="1:10">
      <c r="G29" s="6"/>
      <c r="H29" s="6"/>
      <c r="I29" s="6"/>
    </row>
    <row r="30" spans="1:10">
      <c r="G30" s="6"/>
      <c r="H30" s="6"/>
      <c r="I30" s="6"/>
    </row>
    <row r="31" spans="1:10">
      <c r="G31" s="6"/>
      <c r="H31" s="6"/>
      <c r="I31" s="6"/>
    </row>
  </sheetData>
  <mergeCells count="1">
    <mergeCell ref="A1:G1"/>
  </mergeCells>
  <pageMargins left="0.45" right="0.45" top="0.75" bottom="0.75" header="0.3" footer="0.3"/>
  <pageSetup orientation="landscape" r:id="rId1"/>
  <headerFooter>
    <oddFooter>&amp;C&amp;"arial unicode ms,Regular"Confidential</oddFooter>
    <evenFooter>&amp;C&amp;"arial unicode ms,Regular"Confidential</evenFooter>
    <firstFooter>&amp;C&amp;"arial unicode ms,Regular"Confidential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0"/>
  <sheetViews>
    <sheetView workbookViewId="0">
      <selection activeCell="B21" sqref="B21:H21"/>
    </sheetView>
  </sheetViews>
  <sheetFormatPr defaultRowHeight="15.75"/>
  <cols>
    <col min="1" max="1" width="27.7109375" style="3" customWidth="1"/>
    <col min="2" max="2" width="26.140625" style="3" bestFit="1" customWidth="1"/>
    <col min="3" max="3" width="17.85546875" style="3" bestFit="1" customWidth="1"/>
    <col min="4" max="4" width="20.42578125" style="3" bestFit="1" customWidth="1"/>
    <col min="5" max="5" width="19.42578125" style="3" bestFit="1" customWidth="1"/>
    <col min="6" max="8" width="17" style="3" bestFit="1" customWidth="1"/>
    <col min="9" max="16384" width="9.140625" style="3"/>
  </cols>
  <sheetData>
    <row r="1" spans="1:10">
      <c r="A1" s="163" t="s">
        <v>155</v>
      </c>
      <c r="B1" s="163"/>
      <c r="C1" s="163"/>
      <c r="D1" s="163"/>
      <c r="E1" s="163"/>
      <c r="F1" s="163"/>
      <c r="G1" s="163"/>
      <c r="H1" s="163"/>
      <c r="I1" s="145"/>
      <c r="J1" s="145"/>
    </row>
    <row r="2" spans="1:10">
      <c r="A2" s="2" t="s">
        <v>67</v>
      </c>
      <c r="B2" s="146" t="s">
        <v>68</v>
      </c>
      <c r="C2" s="146" t="s">
        <v>69</v>
      </c>
      <c r="D2" s="146" t="s">
        <v>70</v>
      </c>
      <c r="E2" s="146" t="s">
        <v>71</v>
      </c>
      <c r="F2" s="146" t="s">
        <v>72</v>
      </c>
      <c r="G2" s="147" t="s">
        <v>73</v>
      </c>
      <c r="H2" s="147" t="s">
        <v>74</v>
      </c>
      <c r="I2" s="145"/>
      <c r="J2" s="145"/>
    </row>
    <row r="3" spans="1:10">
      <c r="A3" s="2" t="s">
        <v>156</v>
      </c>
      <c r="B3" s="164">
        <v>43159</v>
      </c>
      <c r="C3" s="164">
        <v>43159</v>
      </c>
      <c r="D3" s="164">
        <v>43159</v>
      </c>
      <c r="E3" s="164">
        <v>43159</v>
      </c>
      <c r="F3" s="164">
        <v>43159</v>
      </c>
      <c r="G3" s="164">
        <v>43159</v>
      </c>
      <c r="H3" s="164">
        <v>43159</v>
      </c>
      <c r="I3" s="145"/>
      <c r="J3" s="145"/>
    </row>
    <row r="4" spans="1:10">
      <c r="A4" s="2" t="s">
        <v>75</v>
      </c>
      <c r="B4" s="164">
        <v>43164</v>
      </c>
      <c r="C4" s="164">
        <v>43164</v>
      </c>
      <c r="D4" s="164">
        <v>43164</v>
      </c>
      <c r="E4" s="164">
        <v>43164</v>
      </c>
      <c r="F4" s="164">
        <v>43164</v>
      </c>
      <c r="G4" s="164">
        <v>43164</v>
      </c>
      <c r="H4" s="164">
        <v>43164</v>
      </c>
      <c r="I4" s="145"/>
      <c r="J4" s="145"/>
    </row>
    <row r="5" spans="1:10">
      <c r="A5" s="150" t="s">
        <v>77</v>
      </c>
      <c r="B5" s="120">
        <v>43895</v>
      </c>
      <c r="C5" s="120">
        <v>44260</v>
      </c>
      <c r="D5" s="120">
        <v>44990</v>
      </c>
      <c r="E5" s="120">
        <v>46817</v>
      </c>
      <c r="F5" s="120">
        <v>54122</v>
      </c>
      <c r="G5" s="120">
        <v>57774</v>
      </c>
      <c r="H5" s="120">
        <v>61427</v>
      </c>
      <c r="I5" s="145"/>
      <c r="J5" s="145"/>
    </row>
    <row r="6" spans="1:10">
      <c r="A6" s="2" t="s">
        <v>79</v>
      </c>
      <c r="B6" s="121" t="s">
        <v>157</v>
      </c>
      <c r="C6" s="121" t="s">
        <v>158</v>
      </c>
      <c r="D6" s="121" t="s">
        <v>159</v>
      </c>
      <c r="E6" s="121" t="s">
        <v>160</v>
      </c>
      <c r="F6" s="121" t="s">
        <v>161</v>
      </c>
      <c r="G6" s="121" t="s">
        <v>161</v>
      </c>
      <c r="H6" s="121" t="s">
        <v>161</v>
      </c>
      <c r="I6" s="145"/>
      <c r="J6" s="145"/>
    </row>
    <row r="7" spans="1:10" hidden="1">
      <c r="A7" s="2"/>
      <c r="B7" s="165" t="s">
        <v>162</v>
      </c>
      <c r="C7" s="165" t="s">
        <v>163</v>
      </c>
      <c r="D7" s="165" t="s">
        <v>164</v>
      </c>
      <c r="E7" s="165" t="s">
        <v>165</v>
      </c>
      <c r="F7" s="165" t="s">
        <v>166</v>
      </c>
      <c r="G7" s="165" t="s">
        <v>166</v>
      </c>
      <c r="H7" s="165" t="s">
        <v>166</v>
      </c>
      <c r="I7" s="145"/>
      <c r="J7" s="145"/>
    </row>
    <row r="8" spans="1:10" hidden="1">
      <c r="A8" s="2"/>
      <c r="B8" s="121" t="s">
        <v>167</v>
      </c>
      <c r="C8" s="121" t="s">
        <v>167</v>
      </c>
      <c r="D8" s="121" t="s">
        <v>167</v>
      </c>
      <c r="E8" s="121" t="s">
        <v>167</v>
      </c>
      <c r="F8" s="121" t="s">
        <v>167</v>
      </c>
      <c r="G8" s="121" t="s">
        <v>167</v>
      </c>
      <c r="H8" s="121" t="s">
        <v>167</v>
      </c>
      <c r="I8" s="145"/>
      <c r="J8" s="145"/>
    </row>
    <row r="9" spans="1:10" hidden="1">
      <c r="A9" s="2"/>
      <c r="B9" s="121" t="s">
        <v>168</v>
      </c>
      <c r="C9" s="121" t="s">
        <v>168</v>
      </c>
      <c r="D9" s="121" t="s">
        <v>169</v>
      </c>
      <c r="E9" s="121" t="s">
        <v>170</v>
      </c>
      <c r="F9" s="121" t="s">
        <v>171</v>
      </c>
      <c r="G9" s="121" t="s">
        <v>171</v>
      </c>
      <c r="H9" s="121" t="s">
        <v>171</v>
      </c>
      <c r="I9" s="145"/>
      <c r="J9" s="145"/>
    </row>
    <row r="10" spans="1:10" hidden="1">
      <c r="A10" s="2"/>
      <c r="B10" s="122" t="s">
        <v>172</v>
      </c>
      <c r="C10" s="122" t="s">
        <v>173</v>
      </c>
      <c r="D10" s="122" t="s">
        <v>174</v>
      </c>
      <c r="E10" s="122" t="s">
        <v>175</v>
      </c>
      <c r="F10" s="122" t="s">
        <v>176</v>
      </c>
      <c r="G10" s="122" t="s">
        <v>176</v>
      </c>
      <c r="H10" s="122" t="s">
        <v>176</v>
      </c>
      <c r="I10" s="145"/>
      <c r="J10" s="145"/>
    </row>
    <row r="11" spans="1:10" hidden="1">
      <c r="A11" s="2"/>
      <c r="B11" s="123">
        <v>7365</v>
      </c>
      <c r="C11" s="123">
        <v>7717</v>
      </c>
      <c r="D11" s="123">
        <v>8460</v>
      </c>
      <c r="E11" s="123">
        <v>10273</v>
      </c>
      <c r="F11" s="123">
        <v>17578</v>
      </c>
      <c r="G11" s="123">
        <v>17578</v>
      </c>
      <c r="H11" s="123">
        <v>17578</v>
      </c>
      <c r="I11" s="145"/>
      <c r="J11" s="145"/>
    </row>
    <row r="12" spans="1:10">
      <c r="A12" s="2" t="s">
        <v>85</v>
      </c>
      <c r="B12" s="124">
        <v>2.2680850000000002E-2</v>
      </c>
      <c r="C12" s="124">
        <v>2.4258320000000003E-2</v>
      </c>
      <c r="D12" s="124">
        <v>2.663631E-2</v>
      </c>
      <c r="E12" s="124">
        <v>2.8842940000000001E-2</v>
      </c>
      <c r="F12" s="124">
        <v>3.1447709999999997E-2</v>
      </c>
      <c r="G12" s="124">
        <v>3.1447709999999997E-2</v>
      </c>
      <c r="H12" s="124">
        <v>3.1447709999999997E-2</v>
      </c>
      <c r="I12" s="145"/>
      <c r="J12" s="145"/>
    </row>
    <row r="13" spans="1:10">
      <c r="A13" s="2" t="s">
        <v>87</v>
      </c>
      <c r="B13" s="125">
        <v>22.191499999999962</v>
      </c>
      <c r="C13" s="125">
        <v>20.326799999999949</v>
      </c>
      <c r="D13" s="125">
        <v>17.216899999999981</v>
      </c>
      <c r="E13" s="125">
        <v>17.930599999999991</v>
      </c>
      <c r="F13" s="125">
        <v>57.602900000000083</v>
      </c>
      <c r="G13" s="125">
        <v>63.902900000000066</v>
      </c>
      <c r="H13" s="125">
        <v>65.792900000000017</v>
      </c>
      <c r="I13" s="145"/>
      <c r="J13" s="145"/>
    </row>
    <row r="14" spans="1:10">
      <c r="A14" s="2" t="s">
        <v>88</v>
      </c>
      <c r="B14" s="166">
        <v>2.4899999999999999E-2</v>
      </c>
      <c r="C14" s="166">
        <v>2.6290999999999998E-2</v>
      </c>
      <c r="D14" s="166">
        <v>2.8357999999999998E-2</v>
      </c>
      <c r="E14" s="166">
        <v>3.0636E-2</v>
      </c>
      <c r="F14" s="166">
        <v>3.7208000000000005E-2</v>
      </c>
      <c r="G14" s="166">
        <v>3.7838000000000004E-2</v>
      </c>
      <c r="H14" s="166">
        <v>3.8026999999999998E-2</v>
      </c>
      <c r="I14" s="145"/>
      <c r="J14" s="145"/>
    </row>
    <row r="15" spans="1:10">
      <c r="A15" s="2" t="s">
        <v>89</v>
      </c>
      <c r="B15" s="126">
        <v>3.8</v>
      </c>
      <c r="C15" s="126">
        <v>3.4</v>
      </c>
      <c r="D15" s="126">
        <v>2.6</v>
      </c>
      <c r="E15" s="126">
        <v>1.9</v>
      </c>
      <c r="F15" s="126">
        <v>1.3</v>
      </c>
      <c r="G15" s="126">
        <v>1.3</v>
      </c>
      <c r="H15" s="126">
        <v>1.3</v>
      </c>
      <c r="I15" s="145"/>
      <c r="J15" s="145"/>
    </row>
    <row r="16" spans="1:10">
      <c r="A16" s="2" t="s">
        <v>90</v>
      </c>
      <c r="B16" s="124">
        <v>2.5279999999999997E-2</v>
      </c>
      <c r="C16" s="124">
        <v>2.6630999999999998E-2</v>
      </c>
      <c r="D16" s="124">
        <v>2.8617999999999998E-2</v>
      </c>
      <c r="E16" s="124">
        <v>3.0825999999999999E-2</v>
      </c>
      <c r="F16" s="124">
        <v>3.7338000000000003E-2</v>
      </c>
      <c r="G16" s="124">
        <v>3.7968000000000002E-2</v>
      </c>
      <c r="H16" s="124">
        <v>3.8156999999999996E-2</v>
      </c>
      <c r="I16" s="145"/>
      <c r="J16" s="145"/>
    </row>
    <row r="17" spans="1:10">
      <c r="A17" s="2" t="s">
        <v>91</v>
      </c>
      <c r="B17" s="127">
        <v>2.5499999999999998E-2</v>
      </c>
      <c r="C17" s="127">
        <v>2.6690999999999999E-2</v>
      </c>
      <c r="D17" s="127">
        <v>2.7757999999999998E-2</v>
      </c>
      <c r="E17" s="127">
        <v>2.9035999999999999E-2</v>
      </c>
      <c r="F17" s="127">
        <v>2.9708000000000002E-2</v>
      </c>
      <c r="G17" s="127">
        <v>2.9338000000000003E-2</v>
      </c>
      <c r="H17" s="127">
        <v>2.9026999999999997E-2</v>
      </c>
      <c r="I17" s="145"/>
      <c r="J17" s="145"/>
    </row>
    <row r="18" spans="1:10">
      <c r="A18" s="2"/>
      <c r="B18" s="127"/>
      <c r="C18" s="127"/>
      <c r="D18" s="127"/>
      <c r="E18" s="127"/>
      <c r="F18" s="127"/>
      <c r="G18" s="127"/>
      <c r="H18" s="127"/>
      <c r="I18" s="145"/>
      <c r="J18" s="145"/>
    </row>
    <row r="19" spans="1:10">
      <c r="A19" s="157" t="s">
        <v>177</v>
      </c>
      <c r="B19" s="128">
        <v>-6</v>
      </c>
      <c r="C19" s="128">
        <v>-4</v>
      </c>
      <c r="D19" s="129">
        <v>6</v>
      </c>
      <c r="E19" s="129">
        <v>16</v>
      </c>
      <c r="F19" s="84">
        <v>75</v>
      </c>
      <c r="G19" s="129">
        <v>85</v>
      </c>
      <c r="H19" s="129">
        <v>90</v>
      </c>
      <c r="I19" s="145"/>
      <c r="J19" s="145"/>
    </row>
    <row r="20" spans="1:10">
      <c r="A20" s="2" t="s">
        <v>92</v>
      </c>
      <c r="B20" s="118">
        <v>-1.8</v>
      </c>
      <c r="C20" s="118">
        <v>-0.3</v>
      </c>
      <c r="D20" s="118">
        <v>8.8000000000000007</v>
      </c>
      <c r="E20" s="118">
        <v>18</v>
      </c>
      <c r="F20" s="118">
        <v>75.3</v>
      </c>
      <c r="G20" s="209">
        <v>85</v>
      </c>
      <c r="H20" s="118">
        <v>89.8</v>
      </c>
      <c r="I20" s="145"/>
      <c r="J20" s="145"/>
    </row>
    <row r="21" spans="1:10">
      <c r="A21" s="2" t="s">
        <v>93</v>
      </c>
      <c r="B21" s="130">
        <v>-12.7</v>
      </c>
      <c r="C21" s="130">
        <v>-11.4</v>
      </c>
      <c r="D21" s="130">
        <v>-2.7</v>
      </c>
      <c r="E21" s="130">
        <v>5.5</v>
      </c>
      <c r="F21" s="130">
        <v>63.3</v>
      </c>
      <c r="G21" s="167">
        <v>73</v>
      </c>
      <c r="H21" s="131">
        <v>77.8</v>
      </c>
      <c r="I21" s="145"/>
      <c r="J21" s="145"/>
    </row>
    <row r="22" spans="1:10">
      <c r="A22" s="2"/>
      <c r="B22" s="132"/>
      <c r="C22" s="132"/>
      <c r="D22" s="132"/>
      <c r="E22" s="132"/>
      <c r="F22" s="132"/>
      <c r="G22" s="168"/>
      <c r="H22" s="2"/>
      <c r="I22" s="145"/>
      <c r="J22" s="145"/>
    </row>
    <row r="23" spans="1:10">
      <c r="A23" s="2"/>
      <c r="B23" s="169"/>
      <c r="C23" s="2"/>
      <c r="D23" s="2"/>
      <c r="E23" s="2"/>
      <c r="F23" s="2"/>
      <c r="G23" s="2"/>
      <c r="H23" s="145"/>
      <c r="I23" s="145"/>
      <c r="J23" s="145"/>
    </row>
    <row r="24" spans="1:10" hidden="1">
      <c r="A24" s="145"/>
      <c r="B24" s="170"/>
      <c r="C24" s="170"/>
      <c r="D24" s="170"/>
      <c r="E24" s="170"/>
      <c r="F24" s="170"/>
      <c r="G24" s="145"/>
      <c r="H24" s="145"/>
      <c r="I24" s="145"/>
      <c r="J24" s="145"/>
    </row>
    <row r="25" spans="1:10">
      <c r="A25" s="127"/>
      <c r="B25" s="171"/>
      <c r="C25" s="172"/>
      <c r="D25" s="145"/>
      <c r="E25" s="145"/>
      <c r="F25" s="145"/>
    </row>
    <row r="26" spans="1:10">
      <c r="A26" s="145"/>
      <c r="B26" s="173"/>
      <c r="C26" s="172"/>
      <c r="D26" s="145"/>
      <c r="E26" s="145"/>
      <c r="F26" s="145"/>
    </row>
    <row r="27" spans="1:10">
      <c r="A27" s="145"/>
      <c r="B27" s="174"/>
      <c r="C27" s="172"/>
      <c r="D27" s="145"/>
      <c r="E27" s="145"/>
      <c r="F27" s="145"/>
    </row>
    <row r="28" spans="1:10">
      <c r="B28" s="175"/>
    </row>
    <row r="30" spans="1:10">
      <c r="B30" s="133"/>
    </row>
  </sheetData>
  <mergeCells count="1">
    <mergeCell ref="A1:H1"/>
  </mergeCells>
  <pageMargins left="0.45" right="0.45" top="0.75" bottom="0.75" header="0.3" footer="0.3"/>
  <pageSetup orientation="landscape" r:id="rId1"/>
  <headerFooter>
    <oddFooter>&amp;C&amp;"arial unicode ms,Regular"Confidential</oddFooter>
    <evenFooter>&amp;C&amp;"arial unicode ms,Regular"Confidential</evenFooter>
    <firstFooter>&amp;C&amp;"arial unicode ms,Regular"Confidential</first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0"/>
  <sheetViews>
    <sheetView workbookViewId="0">
      <selection activeCell="E15" sqref="E15"/>
    </sheetView>
  </sheetViews>
  <sheetFormatPr defaultRowHeight="15.75"/>
  <cols>
    <col min="1" max="1" width="27" style="3" customWidth="1"/>
    <col min="2" max="5" width="20.7109375" style="3" customWidth="1"/>
    <col min="6" max="256" width="9.140625" style="3"/>
    <col min="257" max="257" width="27" style="3" customWidth="1"/>
    <col min="258" max="261" width="20.7109375" style="3" customWidth="1"/>
    <col min="262" max="512" width="9.140625" style="3"/>
    <col min="513" max="513" width="27" style="3" customWidth="1"/>
    <col min="514" max="517" width="20.7109375" style="3" customWidth="1"/>
    <col min="518" max="768" width="9.140625" style="3"/>
    <col min="769" max="769" width="27" style="3" customWidth="1"/>
    <col min="770" max="773" width="20.7109375" style="3" customWidth="1"/>
    <col min="774" max="1024" width="9.140625" style="3"/>
    <col min="1025" max="1025" width="27" style="3" customWidth="1"/>
    <col min="1026" max="1029" width="20.7109375" style="3" customWidth="1"/>
    <col min="1030" max="1280" width="9.140625" style="3"/>
    <col min="1281" max="1281" width="27" style="3" customWidth="1"/>
    <col min="1282" max="1285" width="20.7109375" style="3" customWidth="1"/>
    <col min="1286" max="1536" width="9.140625" style="3"/>
    <col min="1537" max="1537" width="27" style="3" customWidth="1"/>
    <col min="1538" max="1541" width="20.7109375" style="3" customWidth="1"/>
    <col min="1542" max="1792" width="9.140625" style="3"/>
    <col min="1793" max="1793" width="27" style="3" customWidth="1"/>
    <col min="1794" max="1797" width="20.7109375" style="3" customWidth="1"/>
    <col min="1798" max="2048" width="9.140625" style="3"/>
    <col min="2049" max="2049" width="27" style="3" customWidth="1"/>
    <col min="2050" max="2053" width="20.7109375" style="3" customWidth="1"/>
    <col min="2054" max="2304" width="9.140625" style="3"/>
    <col min="2305" max="2305" width="27" style="3" customWidth="1"/>
    <col min="2306" max="2309" width="20.7109375" style="3" customWidth="1"/>
    <col min="2310" max="2560" width="9.140625" style="3"/>
    <col min="2561" max="2561" width="27" style="3" customWidth="1"/>
    <col min="2562" max="2565" width="20.7109375" style="3" customWidth="1"/>
    <col min="2566" max="2816" width="9.140625" style="3"/>
    <col min="2817" max="2817" width="27" style="3" customWidth="1"/>
    <col min="2818" max="2821" width="20.7109375" style="3" customWidth="1"/>
    <col min="2822" max="3072" width="9.140625" style="3"/>
    <col min="3073" max="3073" width="27" style="3" customWidth="1"/>
    <col min="3074" max="3077" width="20.7109375" style="3" customWidth="1"/>
    <col min="3078" max="3328" width="9.140625" style="3"/>
    <col min="3329" max="3329" width="27" style="3" customWidth="1"/>
    <col min="3330" max="3333" width="20.7109375" style="3" customWidth="1"/>
    <col min="3334" max="3584" width="9.140625" style="3"/>
    <col min="3585" max="3585" width="27" style="3" customWidth="1"/>
    <col min="3586" max="3589" width="20.7109375" style="3" customWidth="1"/>
    <col min="3590" max="3840" width="9.140625" style="3"/>
    <col min="3841" max="3841" width="27" style="3" customWidth="1"/>
    <col min="3842" max="3845" width="20.7109375" style="3" customWidth="1"/>
    <col min="3846" max="4096" width="9.140625" style="3"/>
    <col min="4097" max="4097" width="27" style="3" customWidth="1"/>
    <col min="4098" max="4101" width="20.7109375" style="3" customWidth="1"/>
    <col min="4102" max="4352" width="9.140625" style="3"/>
    <col min="4353" max="4353" width="27" style="3" customWidth="1"/>
    <col min="4354" max="4357" width="20.7109375" style="3" customWidth="1"/>
    <col min="4358" max="4608" width="9.140625" style="3"/>
    <col min="4609" max="4609" width="27" style="3" customWidth="1"/>
    <col min="4610" max="4613" width="20.7109375" style="3" customWidth="1"/>
    <col min="4614" max="4864" width="9.140625" style="3"/>
    <col min="4865" max="4865" width="27" style="3" customWidth="1"/>
    <col min="4866" max="4869" width="20.7109375" style="3" customWidth="1"/>
    <col min="4870" max="5120" width="9.140625" style="3"/>
    <col min="5121" max="5121" width="27" style="3" customWidth="1"/>
    <col min="5122" max="5125" width="20.7109375" style="3" customWidth="1"/>
    <col min="5126" max="5376" width="9.140625" style="3"/>
    <col min="5377" max="5377" width="27" style="3" customWidth="1"/>
    <col min="5378" max="5381" width="20.7109375" style="3" customWidth="1"/>
    <col min="5382" max="5632" width="9.140625" style="3"/>
    <col min="5633" max="5633" width="27" style="3" customWidth="1"/>
    <col min="5634" max="5637" width="20.7109375" style="3" customWidth="1"/>
    <col min="5638" max="5888" width="9.140625" style="3"/>
    <col min="5889" max="5889" width="27" style="3" customWidth="1"/>
    <col min="5890" max="5893" width="20.7109375" style="3" customWidth="1"/>
    <col min="5894" max="6144" width="9.140625" style="3"/>
    <col min="6145" max="6145" width="27" style="3" customWidth="1"/>
    <col min="6146" max="6149" width="20.7109375" style="3" customWidth="1"/>
    <col min="6150" max="6400" width="9.140625" style="3"/>
    <col min="6401" max="6401" width="27" style="3" customWidth="1"/>
    <col min="6402" max="6405" width="20.7109375" style="3" customWidth="1"/>
    <col min="6406" max="6656" width="9.140625" style="3"/>
    <col min="6657" max="6657" width="27" style="3" customWidth="1"/>
    <col min="6658" max="6661" width="20.7109375" style="3" customWidth="1"/>
    <col min="6662" max="6912" width="9.140625" style="3"/>
    <col min="6913" max="6913" width="27" style="3" customWidth="1"/>
    <col min="6914" max="6917" width="20.7109375" style="3" customWidth="1"/>
    <col min="6918" max="7168" width="9.140625" style="3"/>
    <col min="7169" max="7169" width="27" style="3" customWidth="1"/>
    <col min="7170" max="7173" width="20.7109375" style="3" customWidth="1"/>
    <col min="7174" max="7424" width="9.140625" style="3"/>
    <col min="7425" max="7425" width="27" style="3" customWidth="1"/>
    <col min="7426" max="7429" width="20.7109375" style="3" customWidth="1"/>
    <col min="7430" max="7680" width="9.140625" style="3"/>
    <col min="7681" max="7681" width="27" style="3" customWidth="1"/>
    <col min="7682" max="7685" width="20.7109375" style="3" customWidth="1"/>
    <col min="7686" max="7936" width="9.140625" style="3"/>
    <col min="7937" max="7937" width="27" style="3" customWidth="1"/>
    <col min="7938" max="7941" width="20.7109375" style="3" customWidth="1"/>
    <col min="7942" max="8192" width="9.140625" style="3"/>
    <col min="8193" max="8193" width="27" style="3" customWidth="1"/>
    <col min="8194" max="8197" width="20.7109375" style="3" customWidth="1"/>
    <col min="8198" max="8448" width="9.140625" style="3"/>
    <col min="8449" max="8449" width="27" style="3" customWidth="1"/>
    <col min="8450" max="8453" width="20.7109375" style="3" customWidth="1"/>
    <col min="8454" max="8704" width="9.140625" style="3"/>
    <col min="8705" max="8705" width="27" style="3" customWidth="1"/>
    <col min="8706" max="8709" width="20.7109375" style="3" customWidth="1"/>
    <col min="8710" max="8960" width="9.140625" style="3"/>
    <col min="8961" max="8961" width="27" style="3" customWidth="1"/>
    <col min="8962" max="8965" width="20.7109375" style="3" customWidth="1"/>
    <col min="8966" max="9216" width="9.140625" style="3"/>
    <col min="9217" max="9217" width="27" style="3" customWidth="1"/>
    <col min="9218" max="9221" width="20.7109375" style="3" customWidth="1"/>
    <col min="9222" max="9472" width="9.140625" style="3"/>
    <col min="9473" max="9473" width="27" style="3" customWidth="1"/>
    <col min="9474" max="9477" width="20.7109375" style="3" customWidth="1"/>
    <col min="9478" max="9728" width="9.140625" style="3"/>
    <col min="9729" max="9729" width="27" style="3" customWidth="1"/>
    <col min="9730" max="9733" width="20.7109375" style="3" customWidth="1"/>
    <col min="9734" max="9984" width="9.140625" style="3"/>
    <col min="9985" max="9985" width="27" style="3" customWidth="1"/>
    <col min="9986" max="9989" width="20.7109375" style="3" customWidth="1"/>
    <col min="9990" max="10240" width="9.140625" style="3"/>
    <col min="10241" max="10241" width="27" style="3" customWidth="1"/>
    <col min="10242" max="10245" width="20.7109375" style="3" customWidth="1"/>
    <col min="10246" max="10496" width="9.140625" style="3"/>
    <col min="10497" max="10497" width="27" style="3" customWidth="1"/>
    <col min="10498" max="10501" width="20.7109375" style="3" customWidth="1"/>
    <col min="10502" max="10752" width="9.140625" style="3"/>
    <col min="10753" max="10753" width="27" style="3" customWidth="1"/>
    <col min="10754" max="10757" width="20.7109375" style="3" customWidth="1"/>
    <col min="10758" max="11008" width="9.140625" style="3"/>
    <col min="11009" max="11009" width="27" style="3" customWidth="1"/>
    <col min="11010" max="11013" width="20.7109375" style="3" customWidth="1"/>
    <col min="11014" max="11264" width="9.140625" style="3"/>
    <col min="11265" max="11265" width="27" style="3" customWidth="1"/>
    <col min="11266" max="11269" width="20.7109375" style="3" customWidth="1"/>
    <col min="11270" max="11520" width="9.140625" style="3"/>
    <col min="11521" max="11521" width="27" style="3" customWidth="1"/>
    <col min="11522" max="11525" width="20.7109375" style="3" customWidth="1"/>
    <col min="11526" max="11776" width="9.140625" style="3"/>
    <col min="11777" max="11777" width="27" style="3" customWidth="1"/>
    <col min="11778" max="11781" width="20.7109375" style="3" customWidth="1"/>
    <col min="11782" max="12032" width="9.140625" style="3"/>
    <col min="12033" max="12033" width="27" style="3" customWidth="1"/>
    <col min="12034" max="12037" width="20.7109375" style="3" customWidth="1"/>
    <col min="12038" max="12288" width="9.140625" style="3"/>
    <col min="12289" max="12289" width="27" style="3" customWidth="1"/>
    <col min="12290" max="12293" width="20.7109375" style="3" customWidth="1"/>
    <col min="12294" max="12544" width="9.140625" style="3"/>
    <col min="12545" max="12545" width="27" style="3" customWidth="1"/>
    <col min="12546" max="12549" width="20.7109375" style="3" customWidth="1"/>
    <col min="12550" max="12800" width="9.140625" style="3"/>
    <col min="12801" max="12801" width="27" style="3" customWidth="1"/>
    <col min="12802" max="12805" width="20.7109375" style="3" customWidth="1"/>
    <col min="12806" max="13056" width="9.140625" style="3"/>
    <col min="13057" max="13057" width="27" style="3" customWidth="1"/>
    <col min="13058" max="13061" width="20.7109375" style="3" customWidth="1"/>
    <col min="13062" max="13312" width="9.140625" style="3"/>
    <col min="13313" max="13313" width="27" style="3" customWidth="1"/>
    <col min="13314" max="13317" width="20.7109375" style="3" customWidth="1"/>
    <col min="13318" max="13568" width="9.140625" style="3"/>
    <col min="13569" max="13569" width="27" style="3" customWidth="1"/>
    <col min="13570" max="13573" width="20.7109375" style="3" customWidth="1"/>
    <col min="13574" max="13824" width="9.140625" style="3"/>
    <col min="13825" max="13825" width="27" style="3" customWidth="1"/>
    <col min="13826" max="13829" width="20.7109375" style="3" customWidth="1"/>
    <col min="13830" max="14080" width="9.140625" style="3"/>
    <col min="14081" max="14081" width="27" style="3" customWidth="1"/>
    <col min="14082" max="14085" width="20.7109375" style="3" customWidth="1"/>
    <col min="14086" max="14336" width="9.140625" style="3"/>
    <col min="14337" max="14337" width="27" style="3" customWidth="1"/>
    <col min="14338" max="14341" width="20.7109375" style="3" customWidth="1"/>
    <col min="14342" max="14592" width="9.140625" style="3"/>
    <col min="14593" max="14593" width="27" style="3" customWidth="1"/>
    <col min="14594" max="14597" width="20.7109375" style="3" customWidth="1"/>
    <col min="14598" max="14848" width="9.140625" style="3"/>
    <col min="14849" max="14849" width="27" style="3" customWidth="1"/>
    <col min="14850" max="14853" width="20.7109375" style="3" customWidth="1"/>
    <col min="14854" max="15104" width="9.140625" style="3"/>
    <col min="15105" max="15105" width="27" style="3" customWidth="1"/>
    <col min="15106" max="15109" width="20.7109375" style="3" customWidth="1"/>
    <col min="15110" max="15360" width="9.140625" style="3"/>
    <col min="15361" max="15361" width="27" style="3" customWidth="1"/>
    <col min="15362" max="15365" width="20.7109375" style="3" customWidth="1"/>
    <col min="15366" max="15616" width="9.140625" style="3"/>
    <col min="15617" max="15617" width="27" style="3" customWidth="1"/>
    <col min="15618" max="15621" width="20.7109375" style="3" customWidth="1"/>
    <col min="15622" max="15872" width="9.140625" style="3"/>
    <col min="15873" max="15873" width="27" style="3" customWidth="1"/>
    <col min="15874" max="15877" width="20.7109375" style="3" customWidth="1"/>
    <col min="15878" max="16128" width="9.140625" style="3"/>
    <col min="16129" max="16129" width="27" style="3" customWidth="1"/>
    <col min="16130" max="16133" width="20.7109375" style="3" customWidth="1"/>
    <col min="16134" max="16384" width="9.140625" style="3"/>
  </cols>
  <sheetData>
    <row r="1" spans="1:9">
      <c r="A1" s="144" t="s">
        <v>105</v>
      </c>
      <c r="B1" s="144"/>
      <c r="C1" s="144"/>
      <c r="D1" s="144"/>
      <c r="E1" s="144"/>
      <c r="F1" s="2"/>
      <c r="G1" s="2"/>
      <c r="H1" s="145"/>
      <c r="I1" s="145"/>
    </row>
    <row r="2" spans="1:9">
      <c r="A2" s="2" t="s">
        <v>67</v>
      </c>
      <c r="B2" s="146" t="s">
        <v>68</v>
      </c>
      <c r="C2" s="146" t="s">
        <v>69</v>
      </c>
      <c r="D2" s="146" t="s">
        <v>70</v>
      </c>
      <c r="E2" s="146" t="s">
        <v>71</v>
      </c>
      <c r="F2" s="157"/>
      <c r="G2" s="2"/>
      <c r="H2" s="145"/>
      <c r="I2" s="145"/>
    </row>
    <row r="3" spans="1:9" s="6" customFormat="1">
      <c r="A3" s="2" t="s">
        <v>75</v>
      </c>
      <c r="B3" s="158">
        <v>43161</v>
      </c>
      <c r="C3" s="158">
        <v>43161</v>
      </c>
      <c r="D3" s="158">
        <v>43161</v>
      </c>
      <c r="E3" s="158">
        <v>43161</v>
      </c>
      <c r="F3" s="2"/>
      <c r="G3" s="2"/>
      <c r="H3" s="2"/>
      <c r="I3" s="2"/>
    </row>
    <row r="4" spans="1:9" s="6" customFormat="1">
      <c r="A4" s="150" t="s">
        <v>77</v>
      </c>
      <c r="B4" s="158">
        <v>43910</v>
      </c>
      <c r="C4" s="158">
        <v>44275</v>
      </c>
      <c r="D4" s="158">
        <v>45005</v>
      </c>
      <c r="E4" s="158">
        <v>46741</v>
      </c>
      <c r="F4" s="2"/>
      <c r="G4" s="2"/>
      <c r="H4" s="2"/>
      <c r="I4" s="2"/>
    </row>
    <row r="5" spans="1:9" s="6" customFormat="1">
      <c r="A5" s="2" t="s">
        <v>106</v>
      </c>
      <c r="B5" s="159" t="s">
        <v>107</v>
      </c>
      <c r="C5" s="159" t="s">
        <v>108</v>
      </c>
      <c r="D5" s="159" t="s">
        <v>109</v>
      </c>
      <c r="E5" s="159" t="s">
        <v>110</v>
      </c>
      <c r="F5" s="2"/>
      <c r="G5" s="2"/>
      <c r="H5" s="2"/>
      <c r="I5" s="2"/>
    </row>
    <row r="6" spans="1:9" s="6" customFormat="1">
      <c r="A6" s="2" t="s">
        <v>85</v>
      </c>
      <c r="B6" s="153">
        <v>-0.14499999999999999</v>
      </c>
      <c r="C6" s="153">
        <v>-0.14000000000000001</v>
      </c>
      <c r="D6" s="153">
        <v>-0.105</v>
      </c>
      <c r="E6" s="153">
        <v>4.4999999999999998E-2</v>
      </c>
      <c r="F6" s="2"/>
      <c r="G6" s="2"/>
      <c r="H6" s="2"/>
      <c r="I6" s="2"/>
    </row>
    <row r="7" spans="1:9" s="6" customFormat="1">
      <c r="A7" s="2" t="s">
        <v>111</v>
      </c>
      <c r="B7" s="159">
        <v>15</v>
      </c>
      <c r="C7" s="159">
        <v>15</v>
      </c>
      <c r="D7" s="159">
        <v>11</v>
      </c>
      <c r="E7" s="159">
        <v>9</v>
      </c>
      <c r="F7" s="2"/>
      <c r="G7" s="2"/>
      <c r="H7" s="2"/>
      <c r="I7" s="2"/>
    </row>
    <row r="8" spans="1:9" s="6" customFormat="1">
      <c r="A8" s="2" t="s">
        <v>88</v>
      </c>
      <c r="B8" s="44">
        <v>5.0000000000000044E-3</v>
      </c>
      <c r="C8" s="44">
        <v>9.9999999999999811E-3</v>
      </c>
      <c r="D8" s="153">
        <v>5.0000000000000044E-3</v>
      </c>
      <c r="E8" s="153">
        <v>0.13500000000000001</v>
      </c>
      <c r="F8" s="2"/>
      <c r="G8" s="2"/>
      <c r="H8" s="2"/>
      <c r="I8" s="2"/>
    </row>
    <row r="9" spans="1:9" s="6" customFormat="1">
      <c r="A9" s="2" t="s">
        <v>89</v>
      </c>
      <c r="B9" s="159">
        <v>3.75</v>
      </c>
      <c r="C9" s="159">
        <v>3.3330000000000002</v>
      </c>
      <c r="D9" s="159">
        <v>2.5</v>
      </c>
      <c r="E9" s="159">
        <v>1.75</v>
      </c>
      <c r="F9" s="2"/>
      <c r="G9" s="2"/>
      <c r="H9" s="2"/>
      <c r="I9" s="2"/>
    </row>
    <row r="10" spans="1:9" s="6" customFormat="1">
      <c r="A10" s="2" t="s">
        <v>90</v>
      </c>
      <c r="B10" s="160">
        <v>4.2500000000000003E-2</v>
      </c>
      <c r="C10" s="160">
        <v>4.332999999999998E-2</v>
      </c>
      <c r="D10" s="160">
        <v>3.0000000000000006E-2</v>
      </c>
      <c r="E10" s="160">
        <v>0.15250000000000002</v>
      </c>
      <c r="F10" s="2"/>
      <c r="G10" s="2"/>
      <c r="H10" s="2"/>
      <c r="I10" s="2"/>
    </row>
    <row r="11" spans="1:9" s="6" customFormat="1">
      <c r="A11" s="2" t="s">
        <v>91</v>
      </c>
      <c r="B11" s="159">
        <v>4.9000000000000002E-2</v>
      </c>
      <c r="C11" s="159">
        <v>6.8000000000000005E-2</v>
      </c>
      <c r="D11" s="159">
        <v>0.11</v>
      </c>
      <c r="E11" s="159">
        <v>0.26900000000000002</v>
      </c>
      <c r="F11" s="2"/>
      <c r="G11" s="2"/>
      <c r="H11" s="2"/>
      <c r="I11" s="2"/>
    </row>
    <row r="12" spans="1:9">
      <c r="A12" s="2"/>
      <c r="B12" s="2"/>
      <c r="C12" s="2"/>
      <c r="D12" s="2"/>
      <c r="E12" s="2"/>
      <c r="F12" s="2"/>
      <c r="G12" s="2"/>
      <c r="H12" s="145"/>
      <c r="I12" s="145"/>
    </row>
    <row r="13" spans="1:9">
      <c r="A13" s="2" t="s">
        <v>112</v>
      </c>
      <c r="B13" s="208">
        <v>-0.64999999999999991</v>
      </c>
      <c r="C13" s="208">
        <v>-2.4670000000000023</v>
      </c>
      <c r="D13" s="208">
        <v>-7.9999999999999991</v>
      </c>
      <c r="E13" s="208">
        <v>-11.649999999999999</v>
      </c>
      <c r="F13" s="208"/>
      <c r="G13" s="208"/>
      <c r="H13" s="145"/>
      <c r="I13" s="145"/>
    </row>
    <row r="14" spans="1:9">
      <c r="A14" s="2" t="s">
        <v>113</v>
      </c>
      <c r="B14" s="161">
        <v>2.35</v>
      </c>
      <c r="C14" s="161">
        <v>0.7829999999999977</v>
      </c>
      <c r="D14" s="161">
        <v>-3.7499999999999991</v>
      </c>
      <c r="E14" s="161">
        <v>-3.1499999999999986</v>
      </c>
      <c r="F14" s="2"/>
      <c r="G14" s="2"/>
      <c r="H14" s="145"/>
      <c r="I14" s="145"/>
    </row>
    <row r="15" spans="1:9">
      <c r="A15" s="2"/>
      <c r="B15" s="162"/>
      <c r="C15" s="162"/>
      <c r="D15" s="162"/>
      <c r="E15" s="162"/>
      <c r="F15" s="2"/>
      <c r="G15" s="2"/>
      <c r="H15" s="145"/>
      <c r="I15" s="145"/>
    </row>
    <row r="16" spans="1:9">
      <c r="A16" s="2" t="s">
        <v>92</v>
      </c>
      <c r="B16" s="208">
        <v>54.719704000000007</v>
      </c>
      <c r="C16" s="208">
        <v>55.990667089999995</v>
      </c>
      <c r="D16" s="208">
        <v>54.566924999999998</v>
      </c>
      <c r="E16" s="208">
        <v>55.733975000000001</v>
      </c>
      <c r="F16" s="208"/>
      <c r="G16" s="208"/>
      <c r="H16" s="145"/>
      <c r="I16" s="145"/>
    </row>
    <row r="17" spans="1:9">
      <c r="A17" s="2" t="s">
        <v>93</v>
      </c>
      <c r="B17" s="161">
        <v>43.844704000000007</v>
      </c>
      <c r="C17" s="161">
        <v>44.865667089999995</v>
      </c>
      <c r="D17" s="161">
        <v>43.066924999999998</v>
      </c>
      <c r="E17" s="161">
        <v>43.233975000000001</v>
      </c>
      <c r="F17" s="2"/>
      <c r="G17" s="2"/>
      <c r="H17" s="145"/>
      <c r="I17" s="145"/>
    </row>
    <row r="18" spans="1:9">
      <c r="A18" s="2"/>
      <c r="B18" s="2"/>
      <c r="C18" s="2"/>
      <c r="D18" s="2"/>
      <c r="E18" s="2"/>
      <c r="F18" s="2"/>
      <c r="G18" s="2"/>
      <c r="H18" s="145"/>
      <c r="I18" s="145"/>
    </row>
    <row r="19" spans="1:9">
      <c r="A19" s="145"/>
      <c r="B19" s="2"/>
      <c r="C19" s="2"/>
      <c r="D19" s="2"/>
      <c r="E19" s="2"/>
      <c r="F19" s="145"/>
      <c r="G19" s="145"/>
      <c r="H19" s="145"/>
      <c r="I19" s="145"/>
    </row>
    <row r="20" spans="1:9">
      <c r="A20" s="145"/>
      <c r="B20" s="2"/>
      <c r="C20" s="2"/>
      <c r="D20" s="2"/>
      <c r="E20" s="2"/>
      <c r="F20" s="145"/>
      <c r="G20" s="145"/>
      <c r="H20" s="145"/>
      <c r="I20" s="145"/>
    </row>
  </sheetData>
  <mergeCells count="1">
    <mergeCell ref="A1:E1"/>
  </mergeCells>
  <pageMargins left="0.45" right="0.45" top="0.75" bottom="0.75" header="0.3" footer="0.3"/>
  <pageSetup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5"/>
  <sheetViews>
    <sheetView workbookViewId="0">
      <selection activeCell="C12" sqref="C12"/>
    </sheetView>
  </sheetViews>
  <sheetFormatPr defaultRowHeight="15.75"/>
  <cols>
    <col min="1" max="1" width="27" style="3" customWidth="1"/>
    <col min="2" max="6" width="20.7109375" style="3" customWidth="1"/>
    <col min="7" max="7" width="17" style="3" customWidth="1"/>
    <col min="8" max="16384" width="9.140625" style="3"/>
  </cols>
  <sheetData>
    <row r="1" spans="1:10">
      <c r="A1" s="144" t="s">
        <v>94</v>
      </c>
      <c r="B1" s="144"/>
      <c r="C1" s="144"/>
      <c r="D1" s="144"/>
      <c r="E1" s="144"/>
      <c r="F1" s="144"/>
      <c r="G1" s="2"/>
      <c r="H1" s="2"/>
      <c r="I1" s="2"/>
      <c r="J1" s="145"/>
    </row>
    <row r="2" spans="1:10">
      <c r="A2" s="2" t="s">
        <v>67</v>
      </c>
      <c r="B2" s="146" t="s">
        <v>68</v>
      </c>
      <c r="C2" s="146" t="s">
        <v>69</v>
      </c>
      <c r="D2" s="146" t="s">
        <v>70</v>
      </c>
      <c r="E2" s="146" t="s">
        <v>71</v>
      </c>
      <c r="F2" s="146" t="s">
        <v>72</v>
      </c>
      <c r="G2" s="147" t="s">
        <v>95</v>
      </c>
      <c r="H2" s="2"/>
      <c r="I2" s="2"/>
      <c r="J2" s="145"/>
    </row>
    <row r="3" spans="1:10">
      <c r="A3" s="2" t="s">
        <v>75</v>
      </c>
      <c r="B3" s="148" t="s">
        <v>76</v>
      </c>
      <c r="C3" s="148" t="s">
        <v>76</v>
      </c>
      <c r="D3" s="148" t="s">
        <v>76</v>
      </c>
      <c r="E3" s="148" t="s">
        <v>76</v>
      </c>
      <c r="F3" s="148" t="s">
        <v>76</v>
      </c>
      <c r="G3" s="148" t="s">
        <v>76</v>
      </c>
      <c r="H3" s="2"/>
      <c r="I3" s="2"/>
      <c r="J3" s="145"/>
    </row>
    <row r="4" spans="1:10">
      <c r="A4" s="150" t="s">
        <v>77</v>
      </c>
      <c r="B4" s="44" t="s">
        <v>1</v>
      </c>
      <c r="C4" s="44" t="s">
        <v>2</v>
      </c>
      <c r="D4" s="44" t="s">
        <v>3</v>
      </c>
      <c r="E4" s="44" t="s">
        <v>4</v>
      </c>
      <c r="F4" s="44" t="s">
        <v>5</v>
      </c>
      <c r="G4" s="44" t="s">
        <v>59</v>
      </c>
      <c r="H4" s="2"/>
      <c r="I4" s="2"/>
      <c r="J4" s="145"/>
    </row>
    <row r="5" spans="1:10">
      <c r="A5" s="2" t="s">
        <v>96</v>
      </c>
      <c r="B5" s="44" t="s">
        <v>97</v>
      </c>
      <c r="C5" s="44" t="s">
        <v>98</v>
      </c>
      <c r="D5" s="44" t="s">
        <v>99</v>
      </c>
      <c r="E5" s="44" t="s">
        <v>100</v>
      </c>
      <c r="F5" s="152" t="s">
        <v>101</v>
      </c>
      <c r="G5" s="152" t="s">
        <v>101</v>
      </c>
      <c r="H5" s="2"/>
      <c r="I5" s="2"/>
      <c r="J5" s="145"/>
    </row>
    <row r="6" spans="1:10">
      <c r="A6" s="2" t="s">
        <v>85</v>
      </c>
      <c r="B6" s="153">
        <v>-0.53800000000000003</v>
      </c>
      <c r="C6" s="153">
        <v>-0.37</v>
      </c>
      <c r="D6" s="153">
        <v>3.3000000000000002E-2</v>
      </c>
      <c r="E6" s="153">
        <v>0.66200000000000003</v>
      </c>
      <c r="F6" s="153">
        <v>1.3</v>
      </c>
      <c r="G6" s="153">
        <v>1.3002485003977196</v>
      </c>
      <c r="H6" s="2"/>
      <c r="I6" s="2"/>
      <c r="J6" s="145"/>
    </row>
    <row r="7" spans="1:10">
      <c r="A7" s="2" t="s">
        <v>86</v>
      </c>
      <c r="B7" s="80">
        <v>-25</v>
      </c>
      <c r="C7" s="80">
        <v>-25</v>
      </c>
      <c r="D7" s="80">
        <v>-25</v>
      </c>
      <c r="E7" s="80">
        <v>-17</v>
      </c>
      <c r="F7" s="80">
        <v>2</v>
      </c>
      <c r="G7" s="80">
        <v>50</v>
      </c>
      <c r="H7" s="2"/>
      <c r="I7" s="2"/>
      <c r="J7" s="145"/>
    </row>
    <row r="8" spans="1:10">
      <c r="A8" s="2" t="s">
        <v>102</v>
      </c>
      <c r="B8" s="78">
        <v>17.376940182952648</v>
      </c>
      <c r="C8" s="78">
        <v>20.73734056857673</v>
      </c>
      <c r="D8" s="78">
        <v>18.168029757537116</v>
      </c>
      <c r="E8" s="78">
        <v>26.128001262353241</v>
      </c>
      <c r="F8" s="78">
        <v>33.009291001785137</v>
      </c>
      <c r="G8" s="78">
        <v>74.644535829555451</v>
      </c>
      <c r="H8" s="2"/>
      <c r="I8" s="2"/>
      <c r="J8" s="145"/>
    </row>
    <row r="9" spans="1:10">
      <c r="A9" s="2" t="s">
        <v>88</v>
      </c>
      <c r="B9" s="79">
        <v>-0.36423059817047354</v>
      </c>
      <c r="C9" s="79">
        <v>-0.16262659431423271</v>
      </c>
      <c r="D9" s="79">
        <v>0.21468029757537116</v>
      </c>
      <c r="E9" s="79">
        <v>0.92328001262353243</v>
      </c>
      <c r="F9" s="79">
        <v>1.6300929100178514</v>
      </c>
      <c r="G9" s="79">
        <v>2.0466938586932741</v>
      </c>
      <c r="H9" s="155"/>
      <c r="I9" s="155"/>
      <c r="J9" s="145"/>
    </row>
    <row r="10" spans="1:10">
      <c r="A10" s="2" t="s">
        <v>89</v>
      </c>
      <c r="B10" s="78">
        <v>3.6979853394231501</v>
      </c>
      <c r="C10" s="78">
        <v>3.280919161062954</v>
      </c>
      <c r="D10" s="78">
        <v>2.4608719391643117</v>
      </c>
      <c r="E10" s="78">
        <v>1.7480870224200182</v>
      </c>
      <c r="F10" s="78">
        <v>1.1367912318780347</v>
      </c>
      <c r="G10" s="78">
        <v>0.76472724030390271</v>
      </c>
      <c r="H10" s="2"/>
      <c r="I10" s="2"/>
      <c r="J10" s="145"/>
    </row>
    <row r="11" spans="1:10">
      <c r="A11" s="2" t="s">
        <v>90</v>
      </c>
      <c r="B11" s="153">
        <v>-0.32725074477624205</v>
      </c>
      <c r="C11" s="153">
        <v>-0.12981740270360317</v>
      </c>
      <c r="D11" s="153">
        <v>0.23928901696701427</v>
      </c>
      <c r="E11" s="153">
        <v>0.94076088284773263</v>
      </c>
      <c r="F11" s="153">
        <v>1.6414608223366318</v>
      </c>
      <c r="G11" s="153">
        <v>2.0543411310963133</v>
      </c>
      <c r="H11" s="2"/>
      <c r="I11" s="2"/>
      <c r="J11" s="145"/>
    </row>
    <row r="12" spans="1:10">
      <c r="A12" s="2" t="s">
        <v>91</v>
      </c>
      <c r="B12" s="153">
        <v>-0.11423059817047354</v>
      </c>
      <c r="C12" s="153">
        <v>8.7373405685767305E-2</v>
      </c>
      <c r="D12" s="153">
        <v>0.46468029757537116</v>
      </c>
      <c r="E12" s="153">
        <v>1.0932800126235325</v>
      </c>
      <c r="F12" s="153">
        <v>1.6100929100178514</v>
      </c>
      <c r="G12" s="153">
        <v>1.5466938586932741</v>
      </c>
      <c r="H12" s="2"/>
      <c r="I12" s="2"/>
      <c r="J12" s="145"/>
    </row>
    <row r="13" spans="1:10">
      <c r="A13" s="2"/>
      <c r="B13" s="56"/>
      <c r="C13" s="56"/>
      <c r="D13" s="56"/>
      <c r="E13" s="56"/>
      <c r="F13" s="56"/>
      <c r="G13" s="2"/>
      <c r="H13" s="2"/>
      <c r="I13" s="56"/>
      <c r="J13" s="145"/>
    </row>
    <row r="14" spans="1:10">
      <c r="A14" s="2" t="s">
        <v>103</v>
      </c>
      <c r="B14" s="208">
        <v>-20.315452289798486</v>
      </c>
      <c r="C14" s="208">
        <v>-20.795796896607875</v>
      </c>
      <c r="D14" s="208">
        <v>-21.595499138200644</v>
      </c>
      <c r="E14" s="208">
        <v>-12.896977375387589</v>
      </c>
      <c r="F14" s="208">
        <v>9.9697186291092521</v>
      </c>
      <c r="G14" s="208">
        <v>57.552672360152954</v>
      </c>
      <c r="H14" s="2"/>
      <c r="I14" s="56"/>
      <c r="J14" s="145"/>
    </row>
    <row r="15" spans="1:10">
      <c r="A15" s="2" t="s">
        <v>104</v>
      </c>
      <c r="B15" s="208">
        <v>-14.277391473503283</v>
      </c>
      <c r="C15" s="208">
        <v>-14.049227146013743</v>
      </c>
      <c r="D15" s="208">
        <v>-13.727344043881695</v>
      </c>
      <c r="E15" s="208">
        <v>-4.4475603113428788</v>
      </c>
      <c r="F15" s="208">
        <v>14.498154901947927</v>
      </c>
      <c r="G15" s="208">
        <v>60.537862888362696</v>
      </c>
      <c r="H15" s="2"/>
      <c r="I15" s="56"/>
      <c r="J15" s="145"/>
    </row>
    <row r="16" spans="1:10">
      <c r="A16" s="2"/>
      <c r="B16" s="56"/>
      <c r="C16" s="56"/>
      <c r="D16" s="56"/>
      <c r="E16" s="56"/>
      <c r="F16" s="56"/>
      <c r="G16" s="2"/>
      <c r="H16" s="2"/>
      <c r="I16" s="56"/>
      <c r="J16" s="145"/>
    </row>
    <row r="17" spans="1:10">
      <c r="A17" s="2" t="s">
        <v>92</v>
      </c>
      <c r="B17" s="208">
        <v>19.74356466791146</v>
      </c>
      <c r="C17" s="208">
        <v>19.372535161982661</v>
      </c>
      <c r="D17" s="208">
        <v>19.671910625354293</v>
      </c>
      <c r="E17" s="208">
        <v>30.960067218295137</v>
      </c>
      <c r="F17" s="208">
        <v>37.941929982153844</v>
      </c>
      <c r="G17" s="208">
        <v>110.88525243220863</v>
      </c>
      <c r="H17" s="2"/>
      <c r="I17" s="56"/>
      <c r="J17" s="145"/>
    </row>
    <row r="18" spans="1:10">
      <c r="A18" s="2" t="s">
        <v>93</v>
      </c>
      <c r="B18" s="56">
        <v>9.2775756213167977</v>
      </c>
      <c r="C18" s="56">
        <v>8.5486951973580485</v>
      </c>
      <c r="D18" s="56">
        <v>8.3423191608702805</v>
      </c>
      <c r="E18" s="56">
        <v>18.496980528830459</v>
      </c>
      <c r="F18" s="56">
        <v>25.684080870814533</v>
      </c>
      <c r="G18" s="2">
        <v>99.896525505388311</v>
      </c>
      <c r="H18" s="2"/>
      <c r="I18" s="56"/>
      <c r="J18" s="145"/>
    </row>
    <row r="19" spans="1:10">
      <c r="A19" s="2"/>
      <c r="B19" s="56"/>
      <c r="C19" s="56"/>
      <c r="D19" s="56"/>
      <c r="E19" s="56"/>
      <c r="F19" s="56"/>
      <c r="G19" s="2"/>
      <c r="H19" s="2"/>
      <c r="I19" s="56"/>
      <c r="J19" s="145"/>
    </row>
    <row r="20" spans="1:10">
      <c r="A20" s="145"/>
      <c r="B20" s="2"/>
      <c r="C20" s="2"/>
      <c r="D20" s="2"/>
      <c r="E20" s="2"/>
      <c r="F20" s="2"/>
      <c r="G20" s="2"/>
      <c r="H20" s="2"/>
      <c r="I20" s="2"/>
      <c r="J20" s="145"/>
    </row>
    <row r="21" spans="1:10">
      <c r="A21" s="145"/>
      <c r="B21" s="2"/>
      <c r="C21" s="2"/>
      <c r="D21" s="2"/>
      <c r="E21" s="2"/>
      <c r="F21" s="2"/>
      <c r="G21" s="2"/>
      <c r="H21" s="2"/>
      <c r="I21" s="2"/>
      <c r="J21" s="145"/>
    </row>
    <row r="22" spans="1:10">
      <c r="A22" s="145"/>
      <c r="B22" s="145"/>
      <c r="C22" s="145"/>
      <c r="D22" s="145"/>
      <c r="E22" s="145"/>
      <c r="F22" s="145"/>
      <c r="G22" s="6"/>
      <c r="H22" s="6"/>
      <c r="I22" s="6"/>
    </row>
    <row r="23" spans="1:10">
      <c r="A23" s="145"/>
      <c r="B23" s="145"/>
      <c r="C23" s="145"/>
      <c r="D23" s="145"/>
      <c r="E23" s="145"/>
      <c r="F23" s="145"/>
      <c r="G23" s="6"/>
      <c r="H23" s="6"/>
      <c r="I23" s="6"/>
    </row>
    <row r="24" spans="1:10">
      <c r="A24" s="145"/>
      <c r="B24" s="145"/>
      <c r="C24" s="145"/>
      <c r="D24" s="145"/>
      <c r="E24" s="145"/>
      <c r="F24" s="145"/>
      <c r="G24" s="6"/>
      <c r="H24" s="6"/>
      <c r="I24" s="6"/>
    </row>
    <row r="25" spans="1:10">
      <c r="A25" s="145"/>
      <c r="B25" s="156"/>
      <c r="C25" s="145"/>
      <c r="D25" s="145"/>
      <c r="E25" s="145"/>
      <c r="F25" s="145"/>
      <c r="G25" s="6"/>
      <c r="H25" s="6"/>
      <c r="I25" s="6"/>
    </row>
  </sheetData>
  <mergeCells count="1">
    <mergeCell ref="A1:F1"/>
  </mergeCells>
  <pageMargins left="0.45" right="0.45" top="0.75" bottom="0.75" header="0.3" footer="0.3"/>
  <pageSetup orientation="landscape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0"/>
  <sheetViews>
    <sheetView workbookViewId="0">
      <selection activeCell="C7" sqref="C7"/>
    </sheetView>
  </sheetViews>
  <sheetFormatPr defaultRowHeight="15.75"/>
  <cols>
    <col min="1" max="1" width="27.7109375" style="3" customWidth="1"/>
    <col min="2" max="6" width="20.7109375" style="3" customWidth="1"/>
    <col min="7" max="7" width="19.28515625" style="3" customWidth="1"/>
    <col min="8" max="8" width="22.28515625" style="3" customWidth="1"/>
    <col min="9" max="16384" width="9.140625" style="3"/>
  </cols>
  <sheetData>
    <row r="1" spans="1:10">
      <c r="A1" s="144" t="s">
        <v>66</v>
      </c>
      <c r="B1" s="144"/>
      <c r="C1" s="144"/>
      <c r="D1" s="144"/>
      <c r="E1" s="144"/>
      <c r="F1" s="144"/>
      <c r="G1" s="2"/>
      <c r="H1" s="2"/>
      <c r="I1" s="145"/>
      <c r="J1" s="145"/>
    </row>
    <row r="2" spans="1:10">
      <c r="A2" s="2" t="s">
        <v>67</v>
      </c>
      <c r="B2" s="146" t="s">
        <v>68</v>
      </c>
      <c r="C2" s="146" t="s">
        <v>69</v>
      </c>
      <c r="D2" s="146" t="s">
        <v>70</v>
      </c>
      <c r="E2" s="146" t="s">
        <v>71</v>
      </c>
      <c r="F2" s="146" t="s">
        <v>72</v>
      </c>
      <c r="G2" s="147" t="s">
        <v>73</v>
      </c>
      <c r="H2" s="147" t="s">
        <v>74</v>
      </c>
      <c r="I2" s="145"/>
      <c r="J2" s="145"/>
    </row>
    <row r="3" spans="1:10">
      <c r="A3" s="2" t="s">
        <v>75</v>
      </c>
      <c r="B3" s="148" t="s">
        <v>76</v>
      </c>
      <c r="C3" s="148" t="s">
        <v>76</v>
      </c>
      <c r="D3" s="148" t="s">
        <v>76</v>
      </c>
      <c r="E3" s="148" t="s">
        <v>76</v>
      </c>
      <c r="F3" s="148" t="s">
        <v>76</v>
      </c>
      <c r="G3" s="148" t="s">
        <v>76</v>
      </c>
      <c r="H3" s="149" t="s">
        <v>76</v>
      </c>
      <c r="I3" s="145"/>
      <c r="J3" s="145"/>
    </row>
    <row r="4" spans="1:10">
      <c r="A4" s="150" t="s">
        <v>77</v>
      </c>
      <c r="B4" s="44" t="s">
        <v>1</v>
      </c>
      <c r="C4" s="44" t="s">
        <v>2</v>
      </c>
      <c r="D4" s="44" t="s">
        <v>3</v>
      </c>
      <c r="E4" s="44" t="s">
        <v>4</v>
      </c>
      <c r="F4" s="44" t="s">
        <v>5</v>
      </c>
      <c r="G4" s="44" t="s">
        <v>58</v>
      </c>
      <c r="H4" s="151" t="s">
        <v>78</v>
      </c>
      <c r="I4" s="145"/>
      <c r="J4" s="145"/>
    </row>
    <row r="5" spans="1:10">
      <c r="A5" s="2" t="s">
        <v>79</v>
      </c>
      <c r="B5" s="44" t="s">
        <v>80</v>
      </c>
      <c r="C5" s="44" t="s">
        <v>81</v>
      </c>
      <c r="D5" s="44" t="s">
        <v>82</v>
      </c>
      <c r="E5" s="44" t="s">
        <v>83</v>
      </c>
      <c r="F5" s="152" t="s">
        <v>84</v>
      </c>
      <c r="G5" s="152" t="s">
        <v>84</v>
      </c>
      <c r="H5" s="152" t="s">
        <v>84</v>
      </c>
      <c r="I5" s="145"/>
      <c r="J5" s="145"/>
    </row>
    <row r="6" spans="1:10">
      <c r="A6" s="2" t="s">
        <v>85</v>
      </c>
      <c r="B6" s="153">
        <v>2.2639999999999998</v>
      </c>
      <c r="C6" s="153">
        <v>2.4239999999999999</v>
      </c>
      <c r="D6" s="153">
        <v>2.6579999999999999</v>
      </c>
      <c r="E6" s="153">
        <v>2.8820000000000001</v>
      </c>
      <c r="F6" s="153">
        <v>3.1389999999999998</v>
      </c>
      <c r="G6" s="153">
        <v>3.1389999999999998</v>
      </c>
      <c r="H6" s="153">
        <v>3.1389999999999998</v>
      </c>
      <c r="I6" s="145"/>
      <c r="J6" s="145"/>
    </row>
    <row r="7" spans="1:10">
      <c r="A7" s="2" t="s">
        <v>86</v>
      </c>
      <c r="B7" s="77">
        <v>-6</v>
      </c>
      <c r="C7" s="77">
        <v>-2</v>
      </c>
      <c r="D7" s="77">
        <v>7</v>
      </c>
      <c r="E7" s="77">
        <v>18</v>
      </c>
      <c r="F7" s="77">
        <v>55</v>
      </c>
      <c r="G7" s="77">
        <v>70</v>
      </c>
      <c r="H7" s="77">
        <v>85</v>
      </c>
      <c r="I7" s="145"/>
      <c r="J7" s="145"/>
    </row>
    <row r="8" spans="1:10">
      <c r="A8" s="2" t="s">
        <v>87</v>
      </c>
      <c r="B8" s="78">
        <v>22.931395384078268</v>
      </c>
      <c r="C8" s="78">
        <v>22.514750042468723</v>
      </c>
      <c r="D8" s="78">
        <v>18.12131133450454</v>
      </c>
      <c r="E8" s="78">
        <v>19.398532315376116</v>
      </c>
      <c r="F8" s="78">
        <v>37.132892710949726</v>
      </c>
      <c r="G8" s="78">
        <v>48.369511967664593</v>
      </c>
      <c r="H8" s="78">
        <v>59.610624509851242</v>
      </c>
      <c r="I8" s="145"/>
      <c r="J8" s="145"/>
    </row>
    <row r="9" spans="1:10">
      <c r="A9" s="2" t="s">
        <v>88</v>
      </c>
      <c r="B9" s="79">
        <v>2.4933139538407825</v>
      </c>
      <c r="C9" s="79">
        <v>2.6491475004246872</v>
      </c>
      <c r="D9" s="79">
        <v>2.8392131133450453</v>
      </c>
      <c r="E9" s="79">
        <v>3.0759853231537613</v>
      </c>
      <c r="F9" s="79">
        <v>3.5103289271094971</v>
      </c>
      <c r="G9" s="79">
        <v>3.6226951196766457</v>
      </c>
      <c r="H9" s="79">
        <v>3.7351062450985122</v>
      </c>
      <c r="I9" s="145"/>
      <c r="J9" s="145"/>
    </row>
    <row r="10" spans="1:10">
      <c r="A10" s="2" t="s">
        <v>89</v>
      </c>
      <c r="B10" s="78">
        <v>3.8489820258474259</v>
      </c>
      <c r="C10" s="78">
        <v>3.4632807154098324</v>
      </c>
      <c r="D10" s="78">
        <v>2.6624588697184772</v>
      </c>
      <c r="E10" s="78">
        <v>1.983546029943112</v>
      </c>
      <c r="F10" s="78">
        <v>1.4410386869373055</v>
      </c>
      <c r="G10" s="78">
        <v>0.5315957199631044</v>
      </c>
      <c r="H10" s="78">
        <v>1.0631914399262088</v>
      </c>
      <c r="I10" s="145"/>
      <c r="J10" s="145"/>
    </row>
    <row r="11" spans="1:10">
      <c r="A11" s="2" t="s">
        <v>90</v>
      </c>
      <c r="B11" s="153">
        <v>2.5318037740992567</v>
      </c>
      <c r="C11" s="153">
        <v>2.6837803075787856</v>
      </c>
      <c r="D11" s="153">
        <v>2.8658377020422301</v>
      </c>
      <c r="E11" s="153">
        <v>3.0958207834531923</v>
      </c>
      <c r="F11" s="153">
        <v>3.5247393139788703</v>
      </c>
      <c r="G11" s="153">
        <v>3.6280110768762768</v>
      </c>
      <c r="H11" s="154">
        <v>3.7457381594977743</v>
      </c>
      <c r="I11" s="145"/>
      <c r="J11" s="145"/>
    </row>
    <row r="12" spans="1:10">
      <c r="A12" s="2" t="s">
        <v>91</v>
      </c>
      <c r="B12" s="153">
        <v>2.5533139538407825</v>
      </c>
      <c r="C12" s="153">
        <v>2.6691475004246872</v>
      </c>
      <c r="D12" s="153">
        <v>2.7692131133450455</v>
      </c>
      <c r="E12" s="153">
        <v>2.8959853231537611</v>
      </c>
      <c r="F12" s="153">
        <v>2.9603289271094972</v>
      </c>
      <c r="G12" s="153">
        <v>2.9226951196766455</v>
      </c>
      <c r="H12" s="154">
        <v>2.8851062450985121</v>
      </c>
      <c r="I12" s="145"/>
      <c r="J12" s="145"/>
    </row>
    <row r="13" spans="1:10">
      <c r="A13" s="2"/>
      <c r="B13" s="56"/>
      <c r="C13" s="56"/>
      <c r="D13" s="56"/>
      <c r="E13" s="56"/>
      <c r="F13" s="56"/>
      <c r="G13" s="2"/>
      <c r="H13" s="2"/>
      <c r="I13" s="145"/>
      <c r="J13" s="145"/>
    </row>
    <row r="14" spans="1:10">
      <c r="A14" s="2"/>
      <c r="B14" s="56"/>
      <c r="C14" s="56"/>
      <c r="D14" s="56"/>
      <c r="E14" s="56"/>
      <c r="F14" s="56"/>
      <c r="G14" s="2"/>
      <c r="H14" s="2"/>
      <c r="I14" s="145"/>
      <c r="J14" s="145"/>
    </row>
    <row r="15" spans="1:10">
      <c r="A15" s="2" t="s">
        <v>92</v>
      </c>
      <c r="B15" s="208">
        <v>-1.8216011668057801</v>
      </c>
      <c r="C15" s="208">
        <v>2.4670768877536817</v>
      </c>
      <c r="D15" s="208">
        <v>11.551500742615243</v>
      </c>
      <c r="E15" s="208">
        <v>21.827299420964248</v>
      </c>
      <c r="F15" s="208">
        <v>59.120289710665858</v>
      </c>
      <c r="G15" s="208">
        <v>77.498055852692062</v>
      </c>
      <c r="H15" s="208">
        <v>91.875097183887704</v>
      </c>
      <c r="I15" s="145"/>
      <c r="J15" s="145"/>
    </row>
    <row r="16" spans="1:10">
      <c r="A16" s="2" t="s">
        <v>93</v>
      </c>
      <c r="B16" s="208">
        <v>-12.347451797195635</v>
      </c>
      <c r="C16" s="208">
        <v>-8.4059115744426602</v>
      </c>
      <c r="D16" s="208">
        <v>0.19610634183968312</v>
      </c>
      <c r="E16" s="208">
        <v>9.3395699578279103</v>
      </c>
      <c r="F16" s="208">
        <v>46.946624977871551</v>
      </c>
      <c r="G16" s="208">
        <v>66.020579266228637</v>
      </c>
      <c r="H16" s="208">
        <v>80.829923397084769</v>
      </c>
      <c r="I16" s="145"/>
      <c r="J16" s="145"/>
    </row>
    <row r="17" spans="1:10">
      <c r="A17" s="2"/>
      <c r="B17" s="56"/>
      <c r="C17" s="56"/>
      <c r="D17" s="56"/>
      <c r="E17" s="56"/>
      <c r="F17" s="56"/>
      <c r="G17" s="2"/>
      <c r="H17" s="2"/>
      <c r="I17" s="145"/>
      <c r="J17" s="145"/>
    </row>
    <row r="18" spans="1:10">
      <c r="A18" s="145"/>
      <c r="B18" s="2"/>
      <c r="C18" s="2"/>
      <c r="D18" s="2"/>
      <c r="E18" s="2"/>
      <c r="F18" s="2"/>
      <c r="G18" s="145"/>
      <c r="H18" s="145"/>
      <c r="I18" s="145"/>
      <c r="J18" s="145"/>
    </row>
    <row r="19" spans="1:10">
      <c r="A19" s="145"/>
      <c r="B19" s="2"/>
      <c r="C19" s="2"/>
      <c r="D19" s="2"/>
      <c r="E19" s="2"/>
      <c r="F19" s="2"/>
      <c r="G19" s="145"/>
      <c r="H19" s="145"/>
      <c r="I19" s="145"/>
      <c r="J19" s="145"/>
    </row>
    <row r="20" spans="1:10">
      <c r="A20" s="145"/>
      <c r="B20" s="145"/>
      <c r="C20" s="145"/>
      <c r="D20" s="145"/>
      <c r="E20" s="145"/>
      <c r="F20" s="145"/>
    </row>
  </sheetData>
  <mergeCells count="1">
    <mergeCell ref="A1:F1"/>
  </mergeCells>
  <pageMargins left="0.45" right="0.45" top="0.75" bottom="0.75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8</vt:i4>
      </vt:variant>
    </vt:vector>
  </HeadingPairs>
  <TitlesOfParts>
    <vt:vector size="21" baseType="lpstr">
      <vt:lpstr>Main</vt:lpstr>
      <vt:lpstr>FinalIBRD</vt:lpstr>
      <vt:lpstr>Nomura-JPY </vt:lpstr>
      <vt:lpstr>MorganStanley-EURO</vt:lpstr>
      <vt:lpstr>MorganStanley-USD</vt:lpstr>
      <vt:lpstr>JPMorgan-EURO</vt:lpstr>
      <vt:lpstr>JPMorgan-USD</vt:lpstr>
      <vt:lpstr>GS-EURO</vt:lpstr>
      <vt:lpstr>Deutsche-EURO</vt:lpstr>
      <vt:lpstr>Deutsche-USD</vt:lpstr>
      <vt:lpstr>Daiwa-JPY</vt:lpstr>
      <vt:lpstr>Citi-EURO</vt:lpstr>
      <vt:lpstr>Citi-USD</vt:lpstr>
      <vt:lpstr>EUR3MLIBOR</vt:lpstr>
      <vt:lpstr>EUR6MEURIBOR</vt:lpstr>
      <vt:lpstr>EUR6MEURIBOR2</vt:lpstr>
      <vt:lpstr>JPY3MLIBOR</vt:lpstr>
      <vt:lpstr>JPY6MJPYLIBOR</vt:lpstr>
      <vt:lpstr>USD3MLIBOR</vt:lpstr>
      <vt:lpstr>USD6MJPYLIBOR</vt:lpstr>
      <vt:lpstr>USD6MLIBOR</vt:lpstr>
    </vt:vector>
  </TitlesOfParts>
  <Company>World Bank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WB179811</dc:creator>
  <cp:lastModifiedBy>Thin Yee Aung</cp:lastModifiedBy>
  <cp:lastPrinted>2017-09-29T18:48:33Z</cp:lastPrinted>
  <dcterms:created xsi:type="dcterms:W3CDTF">2002-03-28T18:47:51Z</dcterms:created>
  <dcterms:modified xsi:type="dcterms:W3CDTF">2018-02-28T22:40:40Z</dcterms:modified>
</cp:coreProperties>
</file>